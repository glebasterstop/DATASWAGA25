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iamant_03/PycharmProjects/PythonProject/"/>
    </mc:Choice>
  </mc:AlternateContent>
  <xr:revisionPtr revIDLastSave="0" documentId="13_ncr:1_{56C5F4AA-FB96-8841-988E-28D7266D8E1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33" i="1" l="1"/>
  <c r="AP532" i="1"/>
  <c r="AP531" i="1"/>
  <c r="AP530" i="1"/>
  <c r="AP529" i="1"/>
  <c r="AP528" i="1"/>
  <c r="AP527" i="1"/>
  <c r="AP526" i="1"/>
  <c r="AP525" i="1"/>
  <c r="AP524" i="1"/>
  <c r="AP523" i="1"/>
  <c r="AP522" i="1"/>
  <c r="AP521" i="1"/>
  <c r="AP520" i="1"/>
  <c r="AP519" i="1"/>
  <c r="AP518" i="1"/>
  <c r="AP517" i="1"/>
  <c r="AP516" i="1"/>
  <c r="AP515" i="1"/>
  <c r="AP514" i="1"/>
  <c r="AP513" i="1"/>
  <c r="AP512" i="1"/>
  <c r="AP511" i="1"/>
  <c r="AP510" i="1"/>
  <c r="AP509" i="1"/>
  <c r="AP508" i="1"/>
  <c r="AP507" i="1"/>
  <c r="AP506" i="1"/>
  <c r="AP505" i="1"/>
  <c r="AP504" i="1"/>
  <c r="AP503" i="1"/>
  <c r="AP502" i="1"/>
  <c r="AP501" i="1"/>
  <c r="AP500" i="1"/>
  <c r="AP499" i="1"/>
  <c r="AP498" i="1"/>
  <c r="AP497" i="1"/>
  <c r="AP496" i="1"/>
  <c r="AP495" i="1"/>
  <c r="AP494" i="1"/>
  <c r="AP493" i="1"/>
  <c r="AP492" i="1"/>
  <c r="AP491" i="1"/>
  <c r="AP490" i="1"/>
  <c r="AP489" i="1"/>
  <c r="AP488" i="1"/>
  <c r="AP487" i="1"/>
  <c r="AP486" i="1"/>
  <c r="AP485" i="1"/>
  <c r="AP484" i="1"/>
  <c r="AP483" i="1"/>
  <c r="AP482" i="1"/>
  <c r="AP481" i="1"/>
  <c r="AP480" i="1"/>
  <c r="AP479" i="1"/>
  <c r="AP478" i="1"/>
  <c r="AP477" i="1"/>
  <c r="AP476" i="1"/>
  <c r="AP475" i="1"/>
  <c r="AP474" i="1"/>
  <c r="AP473" i="1"/>
  <c r="AP472" i="1"/>
  <c r="AP471" i="1"/>
  <c r="AP470" i="1"/>
  <c r="AP469" i="1"/>
  <c r="AP468" i="1"/>
  <c r="AP467" i="1"/>
  <c r="AP466" i="1"/>
  <c r="AP465" i="1"/>
  <c r="AP464" i="1"/>
  <c r="AP463" i="1"/>
  <c r="AP462" i="1"/>
  <c r="AP461" i="1"/>
  <c r="AP460" i="1"/>
  <c r="AP459" i="1"/>
  <c r="AP458" i="1"/>
  <c r="AP457" i="1"/>
  <c r="AP456" i="1"/>
  <c r="AP455" i="1"/>
  <c r="AP454" i="1"/>
  <c r="AP453" i="1"/>
  <c r="AP452" i="1"/>
  <c r="AP451" i="1"/>
  <c r="AP450" i="1"/>
  <c r="AP449" i="1"/>
  <c r="AP448" i="1"/>
  <c r="AP447" i="1"/>
  <c r="AP446" i="1"/>
  <c r="AP445" i="1"/>
  <c r="AP444" i="1"/>
  <c r="AP443" i="1"/>
  <c r="AP442" i="1"/>
  <c r="AP441" i="1"/>
  <c r="AP440" i="1"/>
  <c r="AP439" i="1"/>
  <c r="AP438" i="1"/>
  <c r="AP437" i="1"/>
  <c r="AP436" i="1"/>
  <c r="AP435" i="1"/>
  <c r="AP434" i="1"/>
  <c r="AP433" i="1"/>
  <c r="AP432" i="1"/>
  <c r="AP431" i="1"/>
  <c r="AP430" i="1"/>
  <c r="AP429" i="1"/>
  <c r="AP428" i="1"/>
  <c r="AP427" i="1"/>
  <c r="AP426" i="1"/>
  <c r="AP425" i="1"/>
  <c r="AP424" i="1"/>
  <c r="AP423" i="1"/>
  <c r="AP422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9" i="1"/>
  <c r="AP398" i="1"/>
  <c r="AP397" i="1"/>
  <c r="AP396" i="1"/>
  <c r="AP395" i="1"/>
  <c r="AP394" i="1"/>
  <c r="AP393" i="1"/>
  <c r="AP392" i="1"/>
  <c r="AP391" i="1"/>
  <c r="AP39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</calcChain>
</file>

<file path=xl/sharedStrings.xml><?xml version="1.0" encoding="utf-8"?>
<sst xmlns="http://schemas.openxmlformats.org/spreadsheetml/2006/main" count="270" uniqueCount="130">
  <si>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</si>
  <si>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</si>
  <si>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</si>
  <si>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</si>
  <si>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</si>
  <si>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</si>
  <si>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</si>
  <si>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</si>
  <si>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</si>
  <si>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</si>
  <si>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</si>
  <si>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</si>
  <si>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</si>
  <si>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</si>
  <si>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</si>
  <si>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</si>
  <si>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</si>
  <si>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</si>
  <si>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</si>
  <si>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</si>
  <si>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</si>
  <si>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calories_x</t>
  </si>
  <si>
    <t>food_share_x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</si>
  <si>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</si>
  <si>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</si>
  <si>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</si>
  <si>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</si>
  <si>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</si>
  <si>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</si>
  <si>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</si>
  <si>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</si>
  <si>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</si>
  <si>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</si>
  <si>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</si>
  <si>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</si>
  <si>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</si>
  <si>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calories_y</t>
  </si>
  <si>
    <t>food_share_y</t>
  </si>
  <si>
    <t>okrug</t>
  </si>
  <si>
    <t>educ</t>
  </si>
  <si>
    <t>educ_lvl</t>
  </si>
  <si>
    <t>Адыгея</t>
  </si>
  <si>
    <t>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</si>
  <si>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</si>
  <si>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</si>
  <si>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</si>
  <si>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</si>
  <si>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Башкортостан</t>
  </si>
  <si>
    <t>Белгородская область</t>
  </si>
  <si>
    <t>Брянская область</t>
  </si>
  <si>
    <t>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</si>
  <si>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</si>
  <si>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</si>
  <si>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</si>
  <si>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</si>
  <si>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</si>
  <si>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</si>
  <si>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</si>
  <si>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</si>
  <si>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</si>
  <si>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Калмыкия</t>
  </si>
  <si>
    <t>Калужская область</t>
  </si>
  <si>
    <t>Камчатский край</t>
  </si>
  <si>
    <t>Карелия</t>
  </si>
  <si>
    <t>Кемеровская область</t>
  </si>
  <si>
    <t>Кировская область</t>
  </si>
  <si>
    <t>Коми</t>
  </si>
  <si>
    <t>Костромская область</t>
  </si>
  <si>
    <t>Краснодарский край</t>
  </si>
  <si>
    <t>Красноярский край</t>
  </si>
  <si>
    <t>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</si>
  <si>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</si>
  <si>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</si>
  <si>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</si>
  <si>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</si>
  <si>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</si>
  <si>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Марий Эл</t>
  </si>
  <si>
    <t>Мордовия</t>
  </si>
  <si>
    <t>Москва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</si>
  <si>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</si>
  <si>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</si>
  <si>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</si>
  <si>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</si>
  <si>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</si>
  <si>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</si>
  <si>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</si>
  <si>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</si>
  <si>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</si>
  <si>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</si>
  <si>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</si>
  <si>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</si>
  <si>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</si>
  <si>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</si>
  <si>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</si>
  <si>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</si>
  <si>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</si>
  <si>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</si>
  <si>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</si>
  <si>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</si>
  <si>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</si>
  <si>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</si>
  <si>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</si>
  <si>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Татарстан</t>
  </si>
  <si>
    <t>Тверская область</t>
  </si>
  <si>
    <t>Томская область</t>
  </si>
  <si>
    <t>Тульская область</t>
  </si>
  <si>
    <t>Тюменская область</t>
  </si>
  <si>
    <t>Удмуртия</t>
  </si>
  <si>
    <t>Ульяновская область</t>
  </si>
  <si>
    <t>Хабаровский край</t>
  </si>
  <si>
    <t>Хакасия</t>
  </si>
  <si>
    <t>Ханты-Мансийский автономный округ - Югра</t>
  </si>
  <si>
    <t>Челябинская область</t>
  </si>
  <si>
    <t>Чувашия</t>
  </si>
  <si>
    <t>Чукотский автономный округ</t>
  </si>
  <si>
    <t>Ямало-Ненецкий автономный округ</t>
  </si>
  <si>
    <t>Ярославская область</t>
  </si>
  <si>
    <t>Ком</t>
  </si>
  <si>
    <t>Марий Э</t>
  </si>
  <si>
    <t>Удмуртская</t>
  </si>
  <si>
    <t>Ханты-Мансийский автономный округ — Югра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</si>
  <si>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</si>
  <si>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</si>
  <si>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</si>
  <si>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</si>
  <si>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</si>
  <si>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</si>
  <si>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</si>
  <si>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</si>
  <si>
    <t>fin_share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</si>
</sst>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33"/>
  <sheetViews>
    <sheetView tabSelected="1" topLeftCell="W1" workbookViewId="0">
      <selection activeCell="AP3" sqref="AP3"/>
    </sheetView>
  </sheetViews>
  <sheetFormatPr baseColWidth="10" defaultColWidth="8.83203125" defaultRowHeight="15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129</v>
      </c>
    </row>
    <row r="2" spans="1:42" x14ac:dyDescent="0.2">
      <c r="A2" t="s">
        <v>41</v>
      </c>
      <c r="B2">
        <v>2017</v>
      </c>
      <c r="C2">
        <v>88.537737721840642</v>
      </c>
      <c r="D2">
        <v>49.717005686354952</v>
      </c>
      <c r="E2">
        <v>2.9556693708835691</v>
      </c>
      <c r="F2">
        <v>1.323434046664284</v>
      </c>
      <c r="G2">
        <v>6.5068840627660647</v>
      </c>
      <c r="H2">
        <v>2.7130397956617829</v>
      </c>
      <c r="I2">
        <v>0.17645787288857129</v>
      </c>
      <c r="J2">
        <v>0.23283980000000001</v>
      </c>
      <c r="K2">
        <v>0.39</v>
      </c>
      <c r="L2">
        <v>13.5</v>
      </c>
      <c r="M2">
        <v>0.1871959135894434</v>
      </c>
      <c r="N2">
        <v>40</v>
      </c>
      <c r="O2">
        <v>2</v>
      </c>
      <c r="P2">
        <v>36.428013323999998</v>
      </c>
      <c r="Q2">
        <v>37.152523465999998</v>
      </c>
      <c r="R2">
        <v>22.666599103999999</v>
      </c>
      <c r="S2">
        <v>3.6565991869999999</v>
      </c>
      <c r="T2">
        <v>9.6264919000006444E-2</v>
      </c>
      <c r="U2" t="s">
        <v>41</v>
      </c>
      <c r="V2">
        <v>2648.759730287999</v>
      </c>
      <c r="W2">
        <v>34.967225872138151</v>
      </c>
      <c r="AK2">
        <v>2648.759730287999</v>
      </c>
      <c r="AL2">
        <v>34.967225872138151</v>
      </c>
      <c r="AM2" t="s">
        <v>122</v>
      </c>
      <c r="AN2">
        <v>12.85591113187</v>
      </c>
      <c r="AO2">
        <v>1</v>
      </c>
      <c r="AP2">
        <f>(G2+I2)/C2</f>
        <v>7.5485799701046324E-2</v>
      </c>
    </row>
    <row r="3" spans="1:42" x14ac:dyDescent="0.2">
      <c r="A3" t="s">
        <v>42</v>
      </c>
      <c r="B3">
        <v>2017</v>
      </c>
      <c r="C3">
        <v>213.40325427290361</v>
      </c>
      <c r="D3">
        <v>147.921495619957</v>
      </c>
      <c r="E3">
        <v>7.3269525867829151</v>
      </c>
      <c r="F3">
        <v>4.0551687272760786</v>
      </c>
      <c r="G3">
        <v>7.7877672148824688</v>
      </c>
      <c r="H3">
        <v>4.7924721322353658</v>
      </c>
      <c r="I3">
        <v>0.32257023966968812</v>
      </c>
      <c r="J3">
        <v>0.22940060000000001</v>
      </c>
      <c r="K3">
        <v>0.36599999999999999</v>
      </c>
      <c r="L3">
        <v>24.6</v>
      </c>
      <c r="M3">
        <v>0.16900627476256369</v>
      </c>
      <c r="N3">
        <v>30</v>
      </c>
      <c r="O3">
        <v>1</v>
      </c>
      <c r="P3">
        <v>28.825480121999998</v>
      </c>
      <c r="Q3">
        <v>43.428765703000003</v>
      </c>
      <c r="R3">
        <v>18.713542558</v>
      </c>
      <c r="S3">
        <v>8.6492634119999998</v>
      </c>
      <c r="T3">
        <v>0.38294820500000532</v>
      </c>
      <c r="U3" t="s">
        <v>42</v>
      </c>
      <c r="V3">
        <v>2593.6077724642601</v>
      </c>
      <c r="W3">
        <v>30.726962598749541</v>
      </c>
      <c r="AK3">
        <v>2593.6077724642601</v>
      </c>
      <c r="AL3">
        <v>30.726962598749541</v>
      </c>
      <c r="AM3" t="s">
        <v>123</v>
      </c>
      <c r="AN3">
        <v>12.94761650933</v>
      </c>
      <c r="AO3">
        <v>1</v>
      </c>
      <c r="AP3">
        <f t="shared" ref="AP3:AP66" si="0">(G3+I3)/C3</f>
        <v>3.800475059382423E-2</v>
      </c>
    </row>
    <row r="4" spans="1:42" x14ac:dyDescent="0.2">
      <c r="A4" t="s">
        <v>43</v>
      </c>
      <c r="B4">
        <v>2017</v>
      </c>
      <c r="C4">
        <v>169.317067397112</v>
      </c>
      <c r="D4">
        <v>99.189239457576676</v>
      </c>
      <c r="E4">
        <v>6.5097561800412569</v>
      </c>
      <c r="F4">
        <v>3.0688850563051639</v>
      </c>
      <c r="G4">
        <v>4.1129823137533386</v>
      </c>
      <c r="H4">
        <v>2.578539785600757</v>
      </c>
      <c r="I4">
        <v>6.3406716039362807E-2</v>
      </c>
      <c r="J4">
        <v>0.23805660000000001</v>
      </c>
      <c r="K4">
        <v>0.38200000000000001</v>
      </c>
      <c r="L4">
        <v>17</v>
      </c>
      <c r="M4">
        <v>0.1678533568674504</v>
      </c>
      <c r="N4">
        <v>302</v>
      </c>
      <c r="O4">
        <v>7</v>
      </c>
      <c r="P4">
        <v>28.056918379999999</v>
      </c>
      <c r="Q4">
        <v>44.521525427</v>
      </c>
      <c r="R4">
        <v>21.706243616999998</v>
      </c>
      <c r="S4">
        <v>4.8655153689999997</v>
      </c>
      <c r="T4">
        <v>0.84979720700000883</v>
      </c>
      <c r="U4" t="s">
        <v>43</v>
      </c>
      <c r="V4">
        <v>2792.136448734866</v>
      </c>
      <c r="W4">
        <v>33.760021614004508</v>
      </c>
      <c r="X4">
        <v>2.13</v>
      </c>
      <c r="AA4">
        <v>-3.89</v>
      </c>
      <c r="AD4">
        <v>765.49</v>
      </c>
      <c r="AF4">
        <v>68.709999999999994</v>
      </c>
      <c r="AH4">
        <v>4.1900000000000004</v>
      </c>
      <c r="AI4">
        <v>15.15</v>
      </c>
      <c r="AK4">
        <v>2792.136448734866</v>
      </c>
      <c r="AL4">
        <v>33.760021614004508</v>
      </c>
      <c r="AM4" t="s">
        <v>123</v>
      </c>
      <c r="AN4">
        <v>13.054106210360001</v>
      </c>
      <c r="AO4">
        <v>2</v>
      </c>
      <c r="AP4">
        <f t="shared" si="0"/>
        <v>2.4666084134315314E-2</v>
      </c>
    </row>
    <row r="5" spans="1:42" x14ac:dyDescent="0.2">
      <c r="A5" t="s">
        <v>44</v>
      </c>
      <c r="B5">
        <v>2017</v>
      </c>
      <c r="C5">
        <v>230.807032598609</v>
      </c>
      <c r="D5">
        <v>114.0128119418474</v>
      </c>
      <c r="E5">
        <v>6.510741476167194</v>
      </c>
      <c r="F5">
        <v>3.879004979095781</v>
      </c>
      <c r="G5">
        <v>6.22386972530159</v>
      </c>
      <c r="H5">
        <v>2.7065726059928759</v>
      </c>
      <c r="I5">
        <v>0.14967221784292389</v>
      </c>
      <c r="J5">
        <v>0.37645279999999998</v>
      </c>
      <c r="K5">
        <v>0.39100000000000001</v>
      </c>
      <c r="L5">
        <v>16.7</v>
      </c>
      <c r="M5">
        <v>0.1823667389975665</v>
      </c>
      <c r="N5">
        <v>94</v>
      </c>
      <c r="O5">
        <v>4</v>
      </c>
      <c r="P5">
        <v>29.875800911999999</v>
      </c>
      <c r="Q5">
        <v>45.876795569999999</v>
      </c>
      <c r="R5">
        <v>17.575236362999998</v>
      </c>
      <c r="S5">
        <v>6.0420052460000004</v>
      </c>
      <c r="T5">
        <v>0.63016190899999458</v>
      </c>
      <c r="U5" t="s">
        <v>44</v>
      </c>
      <c r="V5">
        <v>2659.840154920073</v>
      </c>
      <c r="W5">
        <v>30.898119927559559</v>
      </c>
      <c r="X5">
        <v>0.1</v>
      </c>
      <c r="AA5">
        <v>-6.56</v>
      </c>
      <c r="AD5">
        <v>758.93</v>
      </c>
      <c r="AF5">
        <v>65.67</v>
      </c>
      <c r="AH5">
        <v>3.17</v>
      </c>
      <c r="AI5">
        <v>12.63</v>
      </c>
      <c r="AK5">
        <v>2659.840154920073</v>
      </c>
      <c r="AL5">
        <v>30.898119927559559</v>
      </c>
      <c r="AM5" t="s">
        <v>124</v>
      </c>
      <c r="AN5">
        <v>13.15212940882</v>
      </c>
      <c r="AO5">
        <v>3</v>
      </c>
      <c r="AP5">
        <f t="shared" si="0"/>
        <v>2.7614158335584983E-2</v>
      </c>
    </row>
    <row r="6" spans="1:42" x14ac:dyDescent="0.2">
      <c r="A6" t="s">
        <v>45</v>
      </c>
      <c r="B6">
        <v>2017</v>
      </c>
      <c r="C6">
        <v>171.08912091409181</v>
      </c>
      <c r="D6">
        <v>87.822123651624651</v>
      </c>
      <c r="E6">
        <v>6.9619446378317953</v>
      </c>
      <c r="F6">
        <v>3.7706819229229831</v>
      </c>
      <c r="G6">
        <v>8.8428285284624089</v>
      </c>
      <c r="H6">
        <v>5.6961365218623783</v>
      </c>
      <c r="I6">
        <v>0.28525253317620669</v>
      </c>
      <c r="J6">
        <v>0.4660628</v>
      </c>
      <c r="K6">
        <v>0.378</v>
      </c>
      <c r="L6">
        <v>13.2</v>
      </c>
      <c r="M6">
        <v>0.15663917694717339</v>
      </c>
      <c r="N6">
        <v>247</v>
      </c>
      <c r="O6">
        <v>4</v>
      </c>
      <c r="P6">
        <v>25.872531455000001</v>
      </c>
      <c r="Q6">
        <v>57.177639673000002</v>
      </c>
      <c r="R6">
        <v>11.652708792</v>
      </c>
      <c r="S6">
        <v>4.9290112859999997</v>
      </c>
      <c r="T6">
        <v>0.36810879399999408</v>
      </c>
      <c r="U6" t="s">
        <v>45</v>
      </c>
      <c r="V6">
        <v>2667.2978355705282</v>
      </c>
      <c r="W6">
        <v>28.532138828313649</v>
      </c>
      <c r="AK6">
        <v>2667.2978355705282</v>
      </c>
      <c r="AL6">
        <v>28.532138828313649</v>
      </c>
      <c r="AM6" t="s">
        <v>125</v>
      </c>
      <c r="AN6">
        <v>13.159821771440001</v>
      </c>
      <c r="AO6">
        <v>3</v>
      </c>
      <c r="AP6">
        <f t="shared" si="0"/>
        <v>5.3352784869483652E-2</v>
      </c>
    </row>
    <row r="7" spans="1:42" x14ac:dyDescent="0.2">
      <c r="A7" t="s">
        <v>46</v>
      </c>
      <c r="B7">
        <v>2017</v>
      </c>
      <c r="C7">
        <v>131.8328416101823</v>
      </c>
      <c r="D7">
        <v>80.285336835265866</v>
      </c>
      <c r="E7">
        <v>6.4679751802494154</v>
      </c>
      <c r="F7">
        <v>3.268339506863513</v>
      </c>
      <c r="G7">
        <v>9.0590911856907557</v>
      </c>
      <c r="H7">
        <v>5.2705655110681873</v>
      </c>
      <c r="I7">
        <v>8.8333500185500305E-2</v>
      </c>
      <c r="J7">
        <v>0.44284610000000002</v>
      </c>
      <c r="K7">
        <v>0.36599999999999999</v>
      </c>
      <c r="L7">
        <v>15.2</v>
      </c>
      <c r="M7">
        <v>0.18511532889278071</v>
      </c>
      <c r="N7">
        <v>91</v>
      </c>
      <c r="O7">
        <v>6</v>
      </c>
      <c r="P7">
        <v>34.028541595</v>
      </c>
      <c r="Q7">
        <v>46.694089167000001</v>
      </c>
      <c r="R7">
        <v>13.423066657</v>
      </c>
      <c r="S7">
        <v>5.3381428470000003</v>
      </c>
      <c r="T7">
        <v>0.5161597340000128</v>
      </c>
      <c r="U7" t="s">
        <v>46</v>
      </c>
      <c r="V7">
        <v>2621.169224044796</v>
      </c>
      <c r="W7">
        <v>35.34589328812848</v>
      </c>
      <c r="AK7">
        <v>2621.169224044796</v>
      </c>
      <c r="AL7">
        <v>35.34589328812848</v>
      </c>
      <c r="AM7" t="s">
        <v>122</v>
      </c>
      <c r="AN7">
        <v>13.1998909207</v>
      </c>
      <c r="AO7">
        <v>3</v>
      </c>
      <c r="AP7">
        <f t="shared" si="0"/>
        <v>6.9386539606908854E-2</v>
      </c>
    </row>
    <row r="8" spans="1:42" x14ac:dyDescent="0.2">
      <c r="A8" t="s">
        <v>47</v>
      </c>
      <c r="B8">
        <v>2017</v>
      </c>
      <c r="C8">
        <v>149.9789032233318</v>
      </c>
      <c r="D8">
        <v>68.633371461618125</v>
      </c>
      <c r="E8">
        <v>7.1674946372878887</v>
      </c>
      <c r="F8">
        <v>2.3653961718939791</v>
      </c>
      <c r="G8">
        <v>5.4389358962884424</v>
      </c>
      <c r="H8">
        <v>2.2301604240206232</v>
      </c>
      <c r="I8">
        <v>5.4094299149342502E-2</v>
      </c>
      <c r="J8">
        <v>0.36107030000000001</v>
      </c>
      <c r="K8">
        <v>0.41499999999999998</v>
      </c>
      <c r="L8">
        <v>12.5</v>
      </c>
      <c r="M8">
        <v>0.1843699295210251</v>
      </c>
      <c r="N8">
        <v>569</v>
      </c>
      <c r="O8">
        <v>10</v>
      </c>
      <c r="P8">
        <v>28.938935944000001</v>
      </c>
      <c r="Q8">
        <v>54.202810532999997</v>
      </c>
      <c r="R8">
        <v>13.220521164000001</v>
      </c>
      <c r="S8">
        <v>3.4569877629999999</v>
      </c>
      <c r="T8">
        <v>0.1807445959999967</v>
      </c>
      <c r="U8" t="s">
        <v>47</v>
      </c>
      <c r="V8">
        <v>3230.7907190556161</v>
      </c>
      <c r="W8">
        <v>31.517254125817789</v>
      </c>
      <c r="X8">
        <v>0.49</v>
      </c>
      <c r="AA8">
        <v>-3.67</v>
      </c>
      <c r="AD8">
        <v>764.09</v>
      </c>
      <c r="AF8">
        <v>76.45</v>
      </c>
      <c r="AH8">
        <v>4.17</v>
      </c>
      <c r="AI8">
        <v>14.63</v>
      </c>
      <c r="AK8">
        <v>3230.7907190556161</v>
      </c>
      <c r="AL8">
        <v>31.517254125817789</v>
      </c>
      <c r="AM8" t="s">
        <v>126</v>
      </c>
      <c r="AN8">
        <v>13.014221806389999</v>
      </c>
      <c r="AO8">
        <v>2</v>
      </c>
      <c r="AP8">
        <f t="shared" si="0"/>
        <v>3.6625352482129968E-2</v>
      </c>
    </row>
    <row r="9" spans="1:42" x14ac:dyDescent="0.2">
      <c r="A9" t="s">
        <v>48</v>
      </c>
      <c r="B9">
        <v>2017</v>
      </c>
      <c r="C9">
        <v>82.06766203114887</v>
      </c>
      <c r="D9">
        <v>39.913321505732952</v>
      </c>
      <c r="E9">
        <v>3.013784198883998</v>
      </c>
      <c r="F9">
        <v>1.9705512069626141</v>
      </c>
      <c r="G9">
        <v>5.0422927942866904</v>
      </c>
      <c r="H9">
        <v>1.2042257375882639</v>
      </c>
      <c r="I9">
        <v>4.5077968786726402E-2</v>
      </c>
      <c r="J9">
        <v>0.53872980000000004</v>
      </c>
      <c r="K9">
        <v>0.39400000000000002</v>
      </c>
      <c r="L9">
        <v>7.8</v>
      </c>
      <c r="M9">
        <v>0.1736083208562062</v>
      </c>
      <c r="N9">
        <v>178</v>
      </c>
      <c r="O9">
        <v>5</v>
      </c>
      <c r="P9">
        <v>31.926183752</v>
      </c>
      <c r="Q9">
        <v>48.887081897000002</v>
      </c>
      <c r="R9">
        <v>16.666421175</v>
      </c>
      <c r="S9">
        <v>2.4304771000000001</v>
      </c>
      <c r="T9">
        <v>8.9836075999997433E-2</v>
      </c>
      <c r="U9" t="s">
        <v>48</v>
      </c>
      <c r="V9">
        <v>2979.5650368299821</v>
      </c>
      <c r="W9">
        <v>29.993960033377888</v>
      </c>
      <c r="AK9">
        <v>2979.5650368299821</v>
      </c>
      <c r="AL9">
        <v>29.993960033377888</v>
      </c>
      <c r="AM9" t="s">
        <v>127</v>
      </c>
      <c r="AN9">
        <v>12.958300695809999</v>
      </c>
      <c r="AO9">
        <v>1</v>
      </c>
      <c r="AP9">
        <f t="shared" si="0"/>
        <v>6.1989956057752683E-2</v>
      </c>
    </row>
    <row r="10" spans="1:42" x14ac:dyDescent="0.2">
      <c r="A10" t="s">
        <v>49</v>
      </c>
      <c r="B10">
        <v>2017</v>
      </c>
      <c r="C10">
        <v>118.36661122627061</v>
      </c>
      <c r="D10">
        <v>62.268031101242897</v>
      </c>
      <c r="E10">
        <v>4.9486698401514104</v>
      </c>
      <c r="F10">
        <v>2.6627776457768348</v>
      </c>
      <c r="G10">
        <v>5.0060219740604488</v>
      </c>
      <c r="H10">
        <v>2.6627776457768348</v>
      </c>
      <c r="I10">
        <v>0.344112803454237</v>
      </c>
      <c r="J10">
        <v>0.28125040000000001</v>
      </c>
      <c r="K10">
        <v>0.374</v>
      </c>
      <c r="L10">
        <v>14.2</v>
      </c>
      <c r="M10">
        <v>0.169192887445308</v>
      </c>
      <c r="N10">
        <v>186</v>
      </c>
      <c r="O10">
        <v>5</v>
      </c>
      <c r="P10">
        <v>27.585558136</v>
      </c>
      <c r="Q10">
        <v>48.276967263000003</v>
      </c>
      <c r="R10">
        <v>21.685359233</v>
      </c>
      <c r="S10">
        <v>2.3381642290000002</v>
      </c>
      <c r="T10">
        <v>0.1139511389999939</v>
      </c>
      <c r="U10" t="s">
        <v>49</v>
      </c>
      <c r="V10">
        <v>2865.2285549974431</v>
      </c>
      <c r="W10">
        <v>41.879800446123113</v>
      </c>
      <c r="AK10">
        <v>2865.2285549974431</v>
      </c>
      <c r="AL10">
        <v>41.879800446123113</v>
      </c>
      <c r="AM10" t="s">
        <v>127</v>
      </c>
      <c r="AN10">
        <v>12.943329657630001</v>
      </c>
      <c r="AO10">
        <v>1</v>
      </c>
      <c r="AP10">
        <f t="shared" si="0"/>
        <v>4.5199695438499318E-2</v>
      </c>
    </row>
    <row r="11" spans="1:42" x14ac:dyDescent="0.2">
      <c r="A11" t="s">
        <v>50</v>
      </c>
      <c r="B11">
        <v>2017</v>
      </c>
      <c r="C11">
        <v>239.90635421599089</v>
      </c>
      <c r="D11">
        <v>119.31302038137081</v>
      </c>
      <c r="E11">
        <v>5.3956066958361362</v>
      </c>
      <c r="F11">
        <v>4.7148050976797871</v>
      </c>
      <c r="G11">
        <v>8.5151005858958229</v>
      </c>
      <c r="H11">
        <v>5.2127047739433854</v>
      </c>
      <c r="I11">
        <v>8.1289743063444594E-2</v>
      </c>
      <c r="J11">
        <v>0.2288442</v>
      </c>
      <c r="K11">
        <v>0.39200000000000002</v>
      </c>
      <c r="L11">
        <v>19</v>
      </c>
      <c r="M11">
        <v>0.19033302803980159</v>
      </c>
      <c r="N11">
        <v>191</v>
      </c>
      <c r="O11">
        <v>5</v>
      </c>
      <c r="P11">
        <v>29.489165832000001</v>
      </c>
      <c r="Q11">
        <v>47.288276861999996</v>
      </c>
      <c r="R11">
        <v>16.012364883</v>
      </c>
      <c r="S11">
        <v>6.7536398980000003</v>
      </c>
      <c r="T11">
        <v>0.45655252499999222</v>
      </c>
      <c r="U11" t="s">
        <v>50</v>
      </c>
      <c r="V11">
        <v>2519.677112405338</v>
      </c>
      <c r="W11">
        <v>32.878605942656961</v>
      </c>
      <c r="AK11">
        <v>2519.677112405338</v>
      </c>
      <c r="AL11">
        <v>32.878605942656961</v>
      </c>
      <c r="AM11" t="s">
        <v>123</v>
      </c>
      <c r="AN11">
        <v>13.1026664351</v>
      </c>
      <c r="AO11">
        <v>2</v>
      </c>
      <c r="AP11">
        <f t="shared" si="0"/>
        <v>3.583227445997459E-2</v>
      </c>
    </row>
    <row r="12" spans="1:42" x14ac:dyDescent="0.2">
      <c r="A12" t="s">
        <v>51</v>
      </c>
      <c r="B12">
        <v>2017</v>
      </c>
      <c r="C12">
        <v>131.38322638401439</v>
      </c>
      <c r="D12">
        <v>65.126702019791324</v>
      </c>
      <c r="E12">
        <v>5.4907926675249481</v>
      </c>
      <c r="F12">
        <v>2.54030119480512</v>
      </c>
      <c r="G12">
        <v>6.6278113326218566</v>
      </c>
      <c r="H12">
        <v>3.1447921306794262</v>
      </c>
      <c r="I12">
        <v>0.1151411306427249</v>
      </c>
      <c r="J12">
        <v>0.32247350000000002</v>
      </c>
      <c r="K12">
        <v>0.34699999999999998</v>
      </c>
      <c r="L12">
        <v>13.2</v>
      </c>
      <c r="M12">
        <v>0.1623540051993401</v>
      </c>
      <c r="N12">
        <v>136</v>
      </c>
      <c r="O12">
        <v>3</v>
      </c>
      <c r="P12">
        <v>28.172660016999998</v>
      </c>
      <c r="Q12">
        <v>46.417454194000001</v>
      </c>
      <c r="R12">
        <v>20.69345371</v>
      </c>
      <c r="S12">
        <v>4.3644883720000003</v>
      </c>
      <c r="T12">
        <v>0.35194370700000382</v>
      </c>
      <c r="U12" t="s">
        <v>51</v>
      </c>
      <c r="V12">
        <v>2819.9703857698059</v>
      </c>
      <c r="W12">
        <v>35.633780032897462</v>
      </c>
      <c r="AK12">
        <v>2819.9703857698059</v>
      </c>
      <c r="AL12">
        <v>35.633780032897462</v>
      </c>
      <c r="AM12" t="s">
        <v>127</v>
      </c>
      <c r="AN12">
        <v>12.871721586810001</v>
      </c>
      <c r="AO12">
        <v>1</v>
      </c>
      <c r="AP12">
        <f t="shared" si="0"/>
        <v>5.132278030344524E-2</v>
      </c>
    </row>
    <row r="13" spans="1:42" x14ac:dyDescent="0.2">
      <c r="A13" t="s">
        <v>52</v>
      </c>
      <c r="B13">
        <v>2017</v>
      </c>
      <c r="C13">
        <v>157.30896394054599</v>
      </c>
      <c r="D13">
        <v>63.395342856308893</v>
      </c>
      <c r="E13">
        <v>4.417793927268912</v>
      </c>
      <c r="F13">
        <v>2.532342590452358</v>
      </c>
      <c r="G13">
        <v>6.5754129256761393</v>
      </c>
      <c r="H13">
        <v>3.400123540451609</v>
      </c>
      <c r="I13">
        <v>0.33133454454516842</v>
      </c>
      <c r="J13">
        <v>0.33297739999999998</v>
      </c>
      <c r="K13">
        <v>0.34200000000000003</v>
      </c>
      <c r="L13">
        <v>13.6</v>
      </c>
      <c r="M13">
        <v>0.178310271253521</v>
      </c>
      <c r="N13">
        <v>295</v>
      </c>
      <c r="O13">
        <v>12</v>
      </c>
      <c r="P13">
        <v>30.645731187999999</v>
      </c>
      <c r="Q13">
        <v>47.47294986</v>
      </c>
      <c r="R13">
        <v>18.322115526000001</v>
      </c>
      <c r="S13">
        <v>3.530448604</v>
      </c>
      <c r="T13">
        <v>2.8754821999996238E-2</v>
      </c>
      <c r="U13" t="s">
        <v>52</v>
      </c>
      <c r="V13">
        <v>2673.530295318054</v>
      </c>
      <c r="W13">
        <v>34.025566570722283</v>
      </c>
      <c r="X13">
        <v>7.97</v>
      </c>
      <c r="AA13">
        <v>2.15</v>
      </c>
      <c r="AD13">
        <v>763</v>
      </c>
      <c r="AF13">
        <v>72.790000000000006</v>
      </c>
      <c r="AH13">
        <v>5.29</v>
      </c>
      <c r="AI13">
        <v>14.67</v>
      </c>
      <c r="AK13">
        <v>2673.530295318054</v>
      </c>
      <c r="AL13">
        <v>34.025566570722283</v>
      </c>
      <c r="AM13" t="s">
        <v>122</v>
      </c>
      <c r="AN13">
        <v>12.97836906168</v>
      </c>
      <c r="AO13">
        <v>2</v>
      </c>
      <c r="AP13">
        <f t="shared" si="0"/>
        <v>4.3905619217171073E-2</v>
      </c>
    </row>
    <row r="14" spans="1:42" x14ac:dyDescent="0.2">
      <c r="A14" t="s">
        <v>53</v>
      </c>
      <c r="B14">
        <v>2017</v>
      </c>
      <c r="C14">
        <v>173.0947916138733</v>
      </c>
      <c r="D14">
        <v>89.571402023887956</v>
      </c>
      <c r="E14">
        <v>6.6392985657087831</v>
      </c>
      <c r="F14">
        <v>2.27222813508354</v>
      </c>
      <c r="G14">
        <v>7.2728194212153463</v>
      </c>
      <c r="H14">
        <v>3.4463534539557039</v>
      </c>
      <c r="I14">
        <v>0.1604919500616627</v>
      </c>
      <c r="J14">
        <v>0.46001439999999999</v>
      </c>
      <c r="K14">
        <v>0.35099999999999998</v>
      </c>
      <c r="L14">
        <v>13.9</v>
      </c>
      <c r="M14">
        <v>0.16306277755946269</v>
      </c>
      <c r="N14">
        <v>181</v>
      </c>
      <c r="O14">
        <v>3</v>
      </c>
      <c r="P14">
        <v>24.931041548</v>
      </c>
      <c r="Q14">
        <v>52.200130091000013</v>
      </c>
      <c r="R14">
        <v>15.852669872</v>
      </c>
      <c r="S14">
        <v>6.4321683460000001</v>
      </c>
      <c r="T14">
        <v>0.58399014299999408</v>
      </c>
      <c r="U14" t="s">
        <v>53</v>
      </c>
      <c r="V14">
        <v>2880.7539488492812</v>
      </c>
      <c r="W14">
        <v>33.949201074746533</v>
      </c>
      <c r="X14">
        <v>3.1</v>
      </c>
      <c r="AA14">
        <v>-0.56999999999999995</v>
      </c>
      <c r="AD14">
        <v>758.96</v>
      </c>
      <c r="AF14">
        <v>79.67</v>
      </c>
      <c r="AH14">
        <v>2.8</v>
      </c>
      <c r="AI14">
        <v>8.34</v>
      </c>
      <c r="AK14">
        <v>2880.7539488492812</v>
      </c>
      <c r="AL14">
        <v>33.949201074746533</v>
      </c>
      <c r="AM14" t="s">
        <v>125</v>
      </c>
      <c r="AN14">
        <v>12.46693042892</v>
      </c>
      <c r="AO14">
        <v>1</v>
      </c>
      <c r="AP14">
        <f t="shared" si="0"/>
        <v>4.2943587741557668E-2</v>
      </c>
    </row>
    <row r="15" spans="1:42" x14ac:dyDescent="0.2">
      <c r="A15" t="s">
        <v>54</v>
      </c>
      <c r="B15">
        <v>2017</v>
      </c>
      <c r="C15">
        <v>139.4659948069031</v>
      </c>
      <c r="D15">
        <v>55.874605208169193</v>
      </c>
      <c r="E15">
        <v>5.0226769797825472</v>
      </c>
      <c r="F15">
        <v>1.7941190575693839</v>
      </c>
      <c r="G15">
        <v>6.9795085055801813</v>
      </c>
      <c r="H15">
        <v>3.0273082904571709</v>
      </c>
      <c r="I15">
        <v>0.23122298116646001</v>
      </c>
      <c r="J15">
        <v>0.37273800000000001</v>
      </c>
      <c r="K15">
        <v>0.39800000000000002</v>
      </c>
      <c r="L15">
        <v>9</v>
      </c>
      <c r="M15">
        <v>0.1795932597426316</v>
      </c>
      <c r="N15">
        <v>265</v>
      </c>
      <c r="O15">
        <v>15</v>
      </c>
      <c r="P15">
        <v>32.746370698</v>
      </c>
      <c r="Q15">
        <v>36.633941634999999</v>
      </c>
      <c r="R15">
        <v>27.813649595000001</v>
      </c>
      <c r="S15">
        <v>2.6451613219999999</v>
      </c>
      <c r="T15">
        <v>0.1608767499999999</v>
      </c>
      <c r="U15" t="s">
        <v>54</v>
      </c>
      <c r="V15">
        <v>2730.930593748149</v>
      </c>
      <c r="W15">
        <v>32.367814633519473</v>
      </c>
      <c r="X15">
        <v>6.36</v>
      </c>
      <c r="AA15">
        <v>1.31</v>
      </c>
      <c r="AD15">
        <v>761.71</v>
      </c>
      <c r="AF15">
        <v>74.760000000000005</v>
      </c>
      <c r="AH15">
        <v>3.72</v>
      </c>
      <c r="AI15">
        <v>11.93</v>
      </c>
      <c r="AK15">
        <v>2730.930593748149</v>
      </c>
      <c r="AL15">
        <v>32.367814633519473</v>
      </c>
      <c r="AM15" t="s">
        <v>127</v>
      </c>
      <c r="AN15">
        <v>12.41642659045</v>
      </c>
      <c r="AO15">
        <v>1</v>
      </c>
      <c r="AP15">
        <f t="shared" si="0"/>
        <v>5.1702434681158094E-2</v>
      </c>
    </row>
    <row r="16" spans="1:42" x14ac:dyDescent="0.2">
      <c r="A16" t="s">
        <v>55</v>
      </c>
      <c r="B16">
        <v>2017</v>
      </c>
      <c r="C16">
        <v>219.9528672427337</v>
      </c>
      <c r="D16">
        <v>114.29998112253909</v>
      </c>
      <c r="E16">
        <v>5.2369730295888983</v>
      </c>
      <c r="F16">
        <v>5.054287923905564</v>
      </c>
      <c r="G16">
        <v>4.0190723250333402</v>
      </c>
      <c r="H16">
        <v>2.314011338655559</v>
      </c>
      <c r="I16">
        <v>0</v>
      </c>
      <c r="J16">
        <v>0.34464549999999999</v>
      </c>
      <c r="K16">
        <v>0.35</v>
      </c>
      <c r="L16">
        <v>23.9</v>
      </c>
      <c r="M16">
        <v>0.1828109338843997</v>
      </c>
      <c r="N16">
        <v>28</v>
      </c>
      <c r="O16">
        <v>1</v>
      </c>
      <c r="P16">
        <v>23.513544231000001</v>
      </c>
      <c r="Q16">
        <v>42.051970482000002</v>
      </c>
      <c r="R16">
        <v>22.348879164</v>
      </c>
      <c r="S16">
        <v>10.626833573000001</v>
      </c>
      <c r="T16">
        <v>1.4587725500000059</v>
      </c>
      <c r="U16" t="s">
        <v>55</v>
      </c>
      <c r="V16">
        <v>2745.7673459756302</v>
      </c>
      <c r="W16">
        <v>31.204869070966371</v>
      </c>
      <c r="AK16">
        <v>2745.7673459756302</v>
      </c>
      <c r="AL16">
        <v>31.204869070966371</v>
      </c>
      <c r="AM16" t="s">
        <v>124</v>
      </c>
      <c r="AN16">
        <v>13.04119343032</v>
      </c>
      <c r="AO16">
        <v>2</v>
      </c>
      <c r="AP16">
        <f t="shared" si="0"/>
        <v>1.8272425249169437E-2</v>
      </c>
    </row>
    <row r="17" spans="1:42" x14ac:dyDescent="0.2">
      <c r="A17" t="s">
        <v>56</v>
      </c>
      <c r="B17">
        <v>2017</v>
      </c>
      <c r="C17">
        <v>250.16149466673721</v>
      </c>
      <c r="D17">
        <v>128.76940600546999</v>
      </c>
      <c r="E17">
        <v>5.8295635797783651</v>
      </c>
      <c r="F17">
        <v>4.5320454539135469</v>
      </c>
      <c r="G17">
        <v>8.6933714432942875</v>
      </c>
      <c r="H17">
        <v>5.6349358608986426</v>
      </c>
      <c r="I17">
        <v>6.4875906293240901E-2</v>
      </c>
      <c r="J17">
        <v>0.29171740000000002</v>
      </c>
      <c r="K17">
        <v>0.373</v>
      </c>
      <c r="L17">
        <v>21.5</v>
      </c>
      <c r="M17">
        <v>0.19679532888077031</v>
      </c>
      <c r="N17">
        <v>115</v>
      </c>
      <c r="O17">
        <v>2</v>
      </c>
      <c r="P17">
        <v>23.283721173</v>
      </c>
      <c r="Q17">
        <v>38.857707728000001</v>
      </c>
      <c r="R17">
        <v>26.549234040000002</v>
      </c>
      <c r="S17">
        <v>9.9915436619999998</v>
      </c>
      <c r="T17">
        <v>1.3177933970000031</v>
      </c>
      <c r="U17" t="s">
        <v>56</v>
      </c>
      <c r="V17">
        <v>2615.1801025208229</v>
      </c>
      <c r="W17">
        <v>33.783641886917778</v>
      </c>
      <c r="X17">
        <v>-1.02</v>
      </c>
      <c r="AA17">
        <v>-9.52</v>
      </c>
      <c r="AD17">
        <v>760.84</v>
      </c>
      <c r="AF17">
        <v>58.29</v>
      </c>
      <c r="AH17">
        <v>3.37</v>
      </c>
      <c r="AI17">
        <v>14.38</v>
      </c>
      <c r="AK17">
        <v>2615.1801025208229</v>
      </c>
      <c r="AL17">
        <v>33.783641886917778</v>
      </c>
      <c r="AM17" t="s">
        <v>123</v>
      </c>
      <c r="AN17">
        <v>12.80820830147</v>
      </c>
      <c r="AO17">
        <v>1</v>
      </c>
      <c r="AP17">
        <f t="shared" si="0"/>
        <v>3.5010373443983382E-2</v>
      </c>
    </row>
    <row r="18" spans="1:42" x14ac:dyDescent="0.2">
      <c r="A18" t="s">
        <v>57</v>
      </c>
      <c r="B18">
        <v>2017</v>
      </c>
      <c r="C18">
        <v>155.81965851227071</v>
      </c>
      <c r="D18">
        <v>55.46487875915048</v>
      </c>
      <c r="E18">
        <v>7.2519718130906892</v>
      </c>
      <c r="F18">
        <v>2.2576893380376668</v>
      </c>
      <c r="G18">
        <v>6.5189557942472902</v>
      </c>
      <c r="H18">
        <v>2.3945189948884349</v>
      </c>
      <c r="I18">
        <v>6.8414828425383795E-2</v>
      </c>
      <c r="J18">
        <v>0.21521889999999999</v>
      </c>
      <c r="K18">
        <v>0.36899999999999999</v>
      </c>
      <c r="L18">
        <v>13.9</v>
      </c>
      <c r="M18">
        <v>0.16110440312323909</v>
      </c>
      <c r="N18">
        <v>106</v>
      </c>
      <c r="O18">
        <v>6</v>
      </c>
      <c r="P18">
        <v>29.700653524</v>
      </c>
      <c r="Q18">
        <v>47.540630540999999</v>
      </c>
      <c r="R18">
        <v>18.165695182</v>
      </c>
      <c r="S18">
        <v>4.4773226250000002</v>
      </c>
      <c r="T18">
        <v>0.1156981279999911</v>
      </c>
      <c r="U18" t="s">
        <v>57</v>
      </c>
      <c r="V18">
        <v>2371.5885932209831</v>
      </c>
      <c r="W18">
        <v>28.984337991926061</v>
      </c>
      <c r="AK18">
        <v>2371.5885932209831</v>
      </c>
      <c r="AL18">
        <v>28.984337991926061</v>
      </c>
      <c r="AM18" t="s">
        <v>127</v>
      </c>
      <c r="AN18">
        <v>13.104262807950001</v>
      </c>
      <c r="AO18">
        <v>2</v>
      </c>
      <c r="AP18">
        <f t="shared" si="0"/>
        <v>4.2275606849400987E-2</v>
      </c>
    </row>
    <row r="19" spans="1:42" x14ac:dyDescent="0.2">
      <c r="A19" t="s">
        <v>58</v>
      </c>
      <c r="B19">
        <v>2017</v>
      </c>
      <c r="C19">
        <v>191.06638255370399</v>
      </c>
      <c r="D19">
        <v>97.359750359188695</v>
      </c>
      <c r="E19">
        <v>4.7490536140754642</v>
      </c>
      <c r="F19">
        <v>3.229688559222649</v>
      </c>
      <c r="G19">
        <v>5.8408377928358197</v>
      </c>
      <c r="H19">
        <v>3.1259067931807909</v>
      </c>
      <c r="I19">
        <v>4.9815247700092199E-2</v>
      </c>
      <c r="J19">
        <v>0.52620709999999993</v>
      </c>
      <c r="K19">
        <v>0.37</v>
      </c>
      <c r="L19">
        <v>18</v>
      </c>
      <c r="M19">
        <v>0.1828301674833637</v>
      </c>
      <c r="N19">
        <v>367</v>
      </c>
      <c r="O19">
        <v>10</v>
      </c>
      <c r="P19">
        <v>28.386569543</v>
      </c>
      <c r="Q19">
        <v>42.818679080999999</v>
      </c>
      <c r="R19">
        <v>20.623926845</v>
      </c>
      <c r="S19">
        <v>7.7665931060000002</v>
      </c>
      <c r="T19">
        <v>0.40423142499999187</v>
      </c>
      <c r="U19" t="s">
        <v>58</v>
      </c>
      <c r="V19">
        <v>2691.228579619838</v>
      </c>
      <c r="W19">
        <v>33.363983080088452</v>
      </c>
      <c r="AK19">
        <v>2691.228579619838</v>
      </c>
      <c r="AL19">
        <v>33.363983080088452</v>
      </c>
      <c r="AM19" t="s">
        <v>123</v>
      </c>
      <c r="AN19">
        <v>13.17033937025</v>
      </c>
      <c r="AO19">
        <v>3</v>
      </c>
      <c r="AP19">
        <f t="shared" si="0"/>
        <v>3.083040020857775E-2</v>
      </c>
    </row>
    <row r="20" spans="1:42" x14ac:dyDescent="0.2">
      <c r="A20" t="s">
        <v>59</v>
      </c>
      <c r="B20">
        <v>2017</v>
      </c>
      <c r="C20">
        <v>174.71034543594439</v>
      </c>
      <c r="D20">
        <v>56.323833143559369</v>
      </c>
      <c r="E20">
        <v>5.0595126442189242</v>
      </c>
      <c r="F20">
        <v>1.896049828595068</v>
      </c>
      <c r="G20">
        <v>7.3509953247669726</v>
      </c>
      <c r="H20">
        <v>1.8250747013214561</v>
      </c>
      <c r="I20">
        <v>0.3650149402642911</v>
      </c>
      <c r="J20">
        <v>0.45018269999999999</v>
      </c>
      <c r="K20">
        <v>0.35699999999999998</v>
      </c>
      <c r="L20">
        <v>13.8</v>
      </c>
      <c r="M20">
        <v>0.17950319361075401</v>
      </c>
      <c r="N20">
        <v>75</v>
      </c>
      <c r="O20">
        <v>4</v>
      </c>
      <c r="P20">
        <v>32.787272500999997</v>
      </c>
      <c r="Q20">
        <v>46.407518048</v>
      </c>
      <c r="R20">
        <v>15.122443726</v>
      </c>
      <c r="S20">
        <v>5.2483029539999997</v>
      </c>
      <c r="T20">
        <v>0.43446277099999969</v>
      </c>
      <c r="U20" t="s">
        <v>59</v>
      </c>
      <c r="V20">
        <v>2616.1832523385428</v>
      </c>
      <c r="W20">
        <v>35.576562913090648</v>
      </c>
      <c r="AK20">
        <v>2616.1832523385428</v>
      </c>
      <c r="AL20">
        <v>35.576562913090648</v>
      </c>
      <c r="AM20" t="s">
        <v>125</v>
      </c>
      <c r="AN20">
        <v>13.0272002234</v>
      </c>
      <c r="AO20">
        <v>2</v>
      </c>
      <c r="AP20">
        <f t="shared" si="0"/>
        <v>4.4164587081423026E-2</v>
      </c>
    </row>
    <row r="21" spans="1:42" x14ac:dyDescent="0.2">
      <c r="A21" t="s">
        <v>60</v>
      </c>
      <c r="B21">
        <v>2017</v>
      </c>
      <c r="C21">
        <v>108.99810297225009</v>
      </c>
      <c r="D21">
        <v>71.201534900631032</v>
      </c>
      <c r="E21">
        <v>2.6277613992649469</v>
      </c>
      <c r="F21">
        <v>2.2317973528003661</v>
      </c>
      <c r="G21">
        <v>8.8911926797046821</v>
      </c>
      <c r="H21">
        <v>5.8674672339751544</v>
      </c>
      <c r="I21">
        <v>0.53995097245170143</v>
      </c>
      <c r="J21">
        <v>0.29064640000000003</v>
      </c>
      <c r="K21">
        <v>0.34399999999999997</v>
      </c>
      <c r="L21">
        <v>24.3</v>
      </c>
      <c r="M21">
        <v>0.1881708779381383</v>
      </c>
      <c r="N21">
        <v>36</v>
      </c>
      <c r="O21">
        <v>1</v>
      </c>
      <c r="P21">
        <v>36.537330541000003</v>
      </c>
      <c r="Q21">
        <v>38.445796190999999</v>
      </c>
      <c r="R21">
        <v>22.229854849999999</v>
      </c>
      <c r="S21">
        <v>2.700430281</v>
      </c>
      <c r="T21">
        <v>8.6588137000006782E-2</v>
      </c>
      <c r="U21" t="s">
        <v>60</v>
      </c>
      <c r="V21">
        <v>2154.212907109466</v>
      </c>
      <c r="W21">
        <v>34.193874913048852</v>
      </c>
      <c r="X21">
        <v>7.45</v>
      </c>
      <c r="AA21">
        <v>1.96</v>
      </c>
      <c r="AD21">
        <v>763.91</v>
      </c>
      <c r="AF21">
        <v>74.56</v>
      </c>
      <c r="AH21">
        <v>5.57</v>
      </c>
      <c r="AI21">
        <v>17.059999999999999</v>
      </c>
      <c r="AK21">
        <v>2154.212907109466</v>
      </c>
      <c r="AL21">
        <v>34.193874913048852</v>
      </c>
      <c r="AM21" t="s">
        <v>122</v>
      </c>
      <c r="AN21">
        <v>13.27023446712</v>
      </c>
      <c r="AO21">
        <v>3</v>
      </c>
      <c r="AP21">
        <f t="shared" si="0"/>
        <v>8.6525759577278732E-2</v>
      </c>
    </row>
    <row r="22" spans="1:42" x14ac:dyDescent="0.2">
      <c r="A22" t="s">
        <v>61</v>
      </c>
      <c r="B22">
        <v>2017</v>
      </c>
      <c r="C22">
        <v>173.84704850330681</v>
      </c>
      <c r="D22">
        <v>63.435741249987679</v>
      </c>
      <c r="E22">
        <v>10.02395103344274</v>
      </c>
      <c r="F22">
        <v>3.4595937195067861</v>
      </c>
      <c r="G22">
        <v>8.4469282553199871</v>
      </c>
      <c r="H22">
        <v>2.6809387228086781</v>
      </c>
      <c r="I22">
        <v>0.15770227781227511</v>
      </c>
      <c r="J22">
        <v>0.43572090000000002</v>
      </c>
      <c r="K22">
        <v>0.36</v>
      </c>
      <c r="L22">
        <v>10.4</v>
      </c>
      <c r="M22">
        <v>0.16955861713401879</v>
      </c>
      <c r="N22">
        <v>121</v>
      </c>
      <c r="O22">
        <v>3</v>
      </c>
      <c r="P22">
        <v>30.162061437999999</v>
      </c>
      <c r="Q22">
        <v>45.651839318</v>
      </c>
      <c r="R22">
        <v>20.05558984</v>
      </c>
      <c r="S22">
        <v>3.9363327560000001</v>
      </c>
      <c r="T22">
        <v>0.1941766480000098</v>
      </c>
      <c r="U22" t="s">
        <v>61</v>
      </c>
      <c r="V22">
        <v>2707.7633898764529</v>
      </c>
      <c r="W22">
        <v>34.30201658360911</v>
      </c>
      <c r="X22">
        <v>5.49</v>
      </c>
      <c r="AA22">
        <v>1.8</v>
      </c>
      <c r="AD22">
        <v>760.59</v>
      </c>
      <c r="AF22">
        <v>79.819999999999993</v>
      </c>
      <c r="AH22">
        <v>3.75</v>
      </c>
      <c r="AI22">
        <v>12.6</v>
      </c>
      <c r="AK22">
        <v>2707.7633898764529</v>
      </c>
      <c r="AL22">
        <v>34.30201658360911</v>
      </c>
      <c r="AM22" t="s">
        <v>127</v>
      </c>
      <c r="AN22">
        <v>12.967517093930001</v>
      </c>
      <c r="AO22">
        <v>1</v>
      </c>
      <c r="AP22">
        <f t="shared" si="0"/>
        <v>4.9495407642589861E-2</v>
      </c>
    </row>
    <row r="23" spans="1:42" x14ac:dyDescent="0.2">
      <c r="A23" t="s">
        <v>62</v>
      </c>
      <c r="B23">
        <v>2017</v>
      </c>
      <c r="C23">
        <v>194.9296061055702</v>
      </c>
      <c r="D23">
        <v>101.7383209046513</v>
      </c>
      <c r="E23">
        <v>10.29457088479295</v>
      </c>
      <c r="F23">
        <v>5.0519653416113544</v>
      </c>
      <c r="G23">
        <v>8.6741291714459106</v>
      </c>
      <c r="H23">
        <v>5.0201919746829811</v>
      </c>
      <c r="I23">
        <v>9.5320100785119793E-2</v>
      </c>
      <c r="J23">
        <v>0.75294249999999996</v>
      </c>
      <c r="K23">
        <v>0.36599999999999999</v>
      </c>
      <c r="L23">
        <v>16.2</v>
      </c>
      <c r="M23">
        <v>0.17847906515515399</v>
      </c>
      <c r="N23">
        <v>48</v>
      </c>
      <c r="O23">
        <v>2</v>
      </c>
      <c r="P23">
        <v>39.529686136999999</v>
      </c>
      <c r="Q23">
        <v>38.940173326</v>
      </c>
      <c r="R23">
        <v>17.920164863</v>
      </c>
      <c r="S23">
        <v>3.258837046</v>
      </c>
      <c r="T23">
        <v>0.35113862800000112</v>
      </c>
      <c r="U23" t="s">
        <v>62</v>
      </c>
      <c r="V23">
        <v>2378.7900884573041</v>
      </c>
      <c r="W23">
        <v>27.67847132835205</v>
      </c>
      <c r="AK23">
        <v>2378.7900884573041</v>
      </c>
      <c r="AL23">
        <v>27.67847132835205</v>
      </c>
      <c r="AM23" t="s">
        <v>124</v>
      </c>
      <c r="AN23">
        <v>12.99076190181</v>
      </c>
      <c r="AO23">
        <v>2</v>
      </c>
      <c r="AP23">
        <f t="shared" si="0"/>
        <v>4.4987775061124689E-2</v>
      </c>
    </row>
    <row r="24" spans="1:42" x14ac:dyDescent="0.2">
      <c r="A24" t="s">
        <v>63</v>
      </c>
      <c r="B24">
        <v>2017</v>
      </c>
      <c r="C24">
        <v>180.08780336893199</v>
      </c>
      <c r="D24">
        <v>82.748216743238132</v>
      </c>
      <c r="E24">
        <v>9.7913673309593801</v>
      </c>
      <c r="F24">
        <v>4.114287901282605</v>
      </c>
      <c r="G24">
        <v>7.2398709580709406</v>
      </c>
      <c r="H24">
        <v>3.508307512721601</v>
      </c>
      <c r="I24">
        <v>0.6219272408915566</v>
      </c>
      <c r="J24">
        <v>0.46785359999999998</v>
      </c>
      <c r="K24">
        <v>0.35199999999999998</v>
      </c>
      <c r="L24">
        <v>15.3</v>
      </c>
      <c r="M24">
        <v>0.1550898540927271</v>
      </c>
      <c r="N24">
        <v>91</v>
      </c>
      <c r="O24">
        <v>2</v>
      </c>
      <c r="P24">
        <v>26.359168167</v>
      </c>
      <c r="Q24">
        <v>52.654148724000002</v>
      </c>
      <c r="R24">
        <v>15.18564748</v>
      </c>
      <c r="S24">
        <v>5.3227977360000001</v>
      </c>
      <c r="T24">
        <v>0.4782378929999993</v>
      </c>
      <c r="U24" t="s">
        <v>63</v>
      </c>
      <c r="V24">
        <v>2957.557208012875</v>
      </c>
      <c r="W24">
        <v>35.972399851153789</v>
      </c>
      <c r="X24">
        <v>1.85</v>
      </c>
      <c r="AA24">
        <v>-1.3</v>
      </c>
      <c r="AD24">
        <v>758.59</v>
      </c>
      <c r="AF24">
        <v>81.45</v>
      </c>
      <c r="AH24">
        <v>3.03</v>
      </c>
      <c r="AI24">
        <v>11.84</v>
      </c>
      <c r="AK24">
        <v>2957.557208012875</v>
      </c>
      <c r="AL24">
        <v>35.972399851153789</v>
      </c>
      <c r="AM24" t="s">
        <v>125</v>
      </c>
      <c r="AN24">
        <v>12.854751113960001</v>
      </c>
      <c r="AO24">
        <v>1</v>
      </c>
      <c r="AP24">
        <f t="shared" si="0"/>
        <v>4.3655361728504392E-2</v>
      </c>
    </row>
    <row r="25" spans="1:42" x14ac:dyDescent="0.2">
      <c r="A25" t="s">
        <v>64</v>
      </c>
      <c r="B25">
        <v>2017</v>
      </c>
      <c r="C25">
        <v>210.63597608426329</v>
      </c>
      <c r="D25">
        <v>106.311031569186</v>
      </c>
      <c r="E25">
        <v>9.1441219944743963</v>
      </c>
      <c r="F25">
        <v>3.1304866577772659</v>
      </c>
      <c r="G25">
        <v>3.8614257594752601</v>
      </c>
      <c r="H25">
        <v>2.3884727212050598</v>
      </c>
      <c r="I25">
        <v>4.0607727872110699E-2</v>
      </c>
      <c r="J25">
        <v>0.40744730000000001</v>
      </c>
      <c r="K25">
        <v>0.35399999999999998</v>
      </c>
      <c r="L25">
        <v>14.9</v>
      </c>
      <c r="M25">
        <v>0.1705228283091462</v>
      </c>
      <c r="N25">
        <v>306</v>
      </c>
      <c r="O25">
        <v>7</v>
      </c>
      <c r="P25">
        <v>28.447310745999999</v>
      </c>
      <c r="Q25">
        <v>49.474187483999998</v>
      </c>
      <c r="R25">
        <v>16.057220327</v>
      </c>
      <c r="S25">
        <v>5.6975084660000004</v>
      </c>
      <c r="T25">
        <v>0.3237729770000044</v>
      </c>
      <c r="U25" t="s">
        <v>64</v>
      </c>
      <c r="V25">
        <v>2452.2329754776192</v>
      </c>
      <c r="W25">
        <v>34.787409601285027</v>
      </c>
      <c r="AK25">
        <v>2452.2329754776192</v>
      </c>
      <c r="AL25">
        <v>34.787409601285027</v>
      </c>
      <c r="AM25" t="s">
        <v>123</v>
      </c>
      <c r="AN25">
        <v>13.01781791963</v>
      </c>
      <c r="AO25">
        <v>2</v>
      </c>
      <c r="AP25">
        <f t="shared" si="0"/>
        <v>1.8525009639314381E-2</v>
      </c>
    </row>
    <row r="26" spans="1:42" x14ac:dyDescent="0.2">
      <c r="A26" t="s">
        <v>65</v>
      </c>
      <c r="B26">
        <v>2017</v>
      </c>
      <c r="C26">
        <v>163.68554538106841</v>
      </c>
      <c r="D26">
        <v>84.649186643172783</v>
      </c>
      <c r="E26">
        <v>7.8966682253554277</v>
      </c>
      <c r="F26">
        <v>2.0283598774932572</v>
      </c>
      <c r="G26">
        <v>6.5650731912758848</v>
      </c>
      <c r="H26">
        <v>3.909624954710285</v>
      </c>
      <c r="I26">
        <v>8.5160147528342806E-2</v>
      </c>
      <c r="J26">
        <v>0.26846639999999999</v>
      </c>
      <c r="K26">
        <v>0.35</v>
      </c>
      <c r="L26">
        <v>14.8</v>
      </c>
      <c r="M26">
        <v>0.15046436093176149</v>
      </c>
      <c r="N26">
        <v>244</v>
      </c>
      <c r="O26">
        <v>4</v>
      </c>
      <c r="P26">
        <v>24.767282948999998</v>
      </c>
      <c r="Q26">
        <v>51.279757461000003</v>
      </c>
      <c r="R26">
        <v>17.020054549000001</v>
      </c>
      <c r="S26">
        <v>6.4753599929999996</v>
      </c>
      <c r="T26">
        <v>0.45754504800000012</v>
      </c>
      <c r="U26" t="s">
        <v>65</v>
      </c>
      <c r="V26">
        <v>2543.6986667286178</v>
      </c>
      <c r="W26">
        <v>31.746662220575839</v>
      </c>
      <c r="AK26">
        <v>2543.6986667286178</v>
      </c>
      <c r="AL26">
        <v>31.746662220575839</v>
      </c>
      <c r="AM26" t="s">
        <v>126</v>
      </c>
      <c r="AN26">
        <v>12.98574839676</v>
      </c>
      <c r="AO26">
        <v>2</v>
      </c>
      <c r="AP26">
        <f t="shared" si="0"/>
        <v>4.0628103864163087E-2</v>
      </c>
    </row>
    <row r="27" spans="1:42" x14ac:dyDescent="0.2">
      <c r="A27" t="s">
        <v>66</v>
      </c>
      <c r="B27">
        <v>2017</v>
      </c>
      <c r="C27">
        <v>202.60912299513021</v>
      </c>
      <c r="D27">
        <v>110.99824349776731</v>
      </c>
      <c r="E27">
        <v>6.9719265325893476</v>
      </c>
      <c r="F27">
        <v>4.2795636726180817</v>
      </c>
      <c r="G27">
        <v>11.06337751630114</v>
      </c>
      <c r="H27">
        <v>5.643380667188679</v>
      </c>
      <c r="I27">
        <v>0.1293274736230739</v>
      </c>
      <c r="J27">
        <v>0.7572603</v>
      </c>
      <c r="K27">
        <v>0.39100000000000001</v>
      </c>
      <c r="L27">
        <v>14.9</v>
      </c>
      <c r="M27">
        <v>0.1641090289356259</v>
      </c>
      <c r="N27">
        <v>137</v>
      </c>
      <c r="O27">
        <v>3</v>
      </c>
      <c r="P27">
        <v>28.321046204999998</v>
      </c>
      <c r="Q27">
        <v>52.157602001999997</v>
      </c>
      <c r="R27">
        <v>13.073202889999999</v>
      </c>
      <c r="S27">
        <v>5.863889092</v>
      </c>
      <c r="T27">
        <v>0.58425981100000968</v>
      </c>
      <c r="U27" t="s">
        <v>117</v>
      </c>
      <c r="V27">
        <v>2600.103758473208</v>
      </c>
      <c r="W27">
        <v>33.44453510912281</v>
      </c>
      <c r="AM27" t="s">
        <v>125</v>
      </c>
      <c r="AN27">
        <v>12.96768535547</v>
      </c>
      <c r="AO27">
        <v>1</v>
      </c>
      <c r="AP27">
        <f t="shared" si="0"/>
        <v>5.5242848024139736E-2</v>
      </c>
    </row>
    <row r="28" spans="1:42" x14ac:dyDescent="0.2">
      <c r="A28" t="s">
        <v>67</v>
      </c>
      <c r="B28">
        <v>2017</v>
      </c>
      <c r="C28">
        <v>136.58727746518201</v>
      </c>
      <c r="D28">
        <v>71.155599646381972</v>
      </c>
      <c r="E28">
        <v>8.2850297073085688</v>
      </c>
      <c r="F28">
        <v>2.761676569102856</v>
      </c>
      <c r="G28">
        <v>7.0199041281664787</v>
      </c>
      <c r="H28">
        <v>4.0730872304086816</v>
      </c>
      <c r="I28">
        <v>0.107998525048715</v>
      </c>
      <c r="J28">
        <v>0.28783740000000002</v>
      </c>
      <c r="K28">
        <v>0.36</v>
      </c>
      <c r="L28">
        <v>12.9</v>
      </c>
      <c r="M28">
        <v>0.1505302130139991</v>
      </c>
      <c r="N28">
        <v>123</v>
      </c>
      <c r="O28">
        <v>2</v>
      </c>
      <c r="P28">
        <v>25.078064199</v>
      </c>
      <c r="Q28">
        <v>57.488702818</v>
      </c>
      <c r="R28">
        <v>11.030163795</v>
      </c>
      <c r="S28">
        <v>5.6213323119999998</v>
      </c>
      <c r="T28">
        <v>0.78173687599999653</v>
      </c>
      <c r="U28" t="s">
        <v>67</v>
      </c>
      <c r="V28">
        <v>2451.4481573207399</v>
      </c>
      <c r="W28">
        <v>33.172275866541149</v>
      </c>
      <c r="AK28">
        <v>2451.4481573207399</v>
      </c>
      <c r="AL28">
        <v>33.172275866541149</v>
      </c>
      <c r="AM28" t="s">
        <v>127</v>
      </c>
      <c r="AN28">
        <v>12.786375783780001</v>
      </c>
      <c r="AO28">
        <v>1</v>
      </c>
      <c r="AP28">
        <f t="shared" si="0"/>
        <v>5.218569976279229E-2</v>
      </c>
    </row>
    <row r="29" spans="1:42" x14ac:dyDescent="0.2">
      <c r="A29" t="s">
        <v>68</v>
      </c>
      <c r="B29">
        <v>2017</v>
      </c>
      <c r="C29">
        <v>121.45515706940201</v>
      </c>
      <c r="D29">
        <v>56.625940482270067</v>
      </c>
      <c r="E29">
        <v>4.5306496474117051</v>
      </c>
      <c r="F29">
        <v>2.0086358777550308</v>
      </c>
      <c r="G29">
        <v>7.356023080464805</v>
      </c>
      <c r="H29">
        <v>3.1915590622416841</v>
      </c>
      <c r="I29">
        <v>0.1597574558714904</v>
      </c>
      <c r="J29">
        <v>0.42706139999999998</v>
      </c>
      <c r="K29">
        <v>0.40200000000000002</v>
      </c>
      <c r="L29">
        <v>11.1</v>
      </c>
      <c r="M29">
        <v>0.1741022315543857</v>
      </c>
      <c r="N29">
        <v>550</v>
      </c>
      <c r="O29">
        <v>20</v>
      </c>
      <c r="P29">
        <v>29.858194481000002</v>
      </c>
      <c r="Q29">
        <v>42.440530529</v>
      </c>
      <c r="R29">
        <v>24.175246905000002</v>
      </c>
      <c r="S29">
        <v>3.4273786319999999</v>
      </c>
      <c r="T29">
        <v>9.864945300000727E-2</v>
      </c>
      <c r="U29" t="s">
        <v>68</v>
      </c>
      <c r="V29">
        <v>2577.521995804475</v>
      </c>
      <c r="W29">
        <v>33.042481336502632</v>
      </c>
      <c r="X29">
        <v>13.31</v>
      </c>
      <c r="AA29">
        <v>8.2899999999999991</v>
      </c>
      <c r="AD29">
        <v>762.01</v>
      </c>
      <c r="AF29">
        <v>74.52</v>
      </c>
      <c r="AH29">
        <v>4.0199999999999996</v>
      </c>
      <c r="AI29">
        <v>14.89</v>
      </c>
      <c r="AK29">
        <v>2577.521995804475</v>
      </c>
      <c r="AL29">
        <v>33.042481336502632</v>
      </c>
      <c r="AM29" t="s">
        <v>122</v>
      </c>
      <c r="AN29">
        <v>13.166004685900001</v>
      </c>
      <c r="AO29">
        <v>3</v>
      </c>
      <c r="AP29">
        <f t="shared" si="0"/>
        <v>6.1881114953740685E-2</v>
      </c>
    </row>
    <row r="30" spans="1:42" x14ac:dyDescent="0.2">
      <c r="A30" t="s">
        <v>69</v>
      </c>
      <c r="B30">
        <v>2017</v>
      </c>
      <c r="C30">
        <v>177.668355417398</v>
      </c>
      <c r="D30">
        <v>91.524330843970759</v>
      </c>
      <c r="E30">
        <v>9.6546413749377873</v>
      </c>
      <c r="F30">
        <v>3.940457016500186</v>
      </c>
      <c r="G30">
        <v>5.7385296356798818</v>
      </c>
      <c r="H30">
        <v>2.1389065005715922</v>
      </c>
      <c r="I30">
        <v>3.1301070740071997E-2</v>
      </c>
      <c r="J30">
        <v>0.68644459999999996</v>
      </c>
      <c r="K30">
        <v>0.39100000000000001</v>
      </c>
      <c r="L30">
        <v>17.600000000000001</v>
      </c>
      <c r="M30">
        <v>0.18733302398341731</v>
      </c>
      <c r="N30">
        <v>406</v>
      </c>
      <c r="O30">
        <v>8</v>
      </c>
      <c r="P30">
        <v>28.315408735999998</v>
      </c>
      <c r="Q30">
        <v>41.768820652000002</v>
      </c>
      <c r="R30">
        <v>22.534580582</v>
      </c>
      <c r="S30">
        <v>6.7013264680000004</v>
      </c>
      <c r="T30">
        <v>0.6798635619999942</v>
      </c>
      <c r="U30" t="s">
        <v>69</v>
      </c>
      <c r="V30">
        <v>2598.0292475671158</v>
      </c>
      <c r="W30">
        <v>28.697198652609899</v>
      </c>
      <c r="AK30">
        <v>2598.0292475671158</v>
      </c>
      <c r="AL30">
        <v>28.697198652609899</v>
      </c>
      <c r="AM30" t="s">
        <v>123</v>
      </c>
      <c r="AN30">
        <v>12.85986351104</v>
      </c>
      <c r="AO30">
        <v>1</v>
      </c>
      <c r="AP30">
        <f t="shared" si="0"/>
        <v>3.2475286287559954E-2</v>
      </c>
    </row>
    <row r="31" spans="1:42" x14ac:dyDescent="0.2">
      <c r="A31" t="s">
        <v>70</v>
      </c>
      <c r="B31">
        <v>2017</v>
      </c>
      <c r="C31">
        <v>113.54127879977069</v>
      </c>
      <c r="D31">
        <v>54.263014546838981</v>
      </c>
      <c r="E31">
        <v>4.272637132302183</v>
      </c>
      <c r="F31">
        <v>2.3585793716870072</v>
      </c>
      <c r="G31">
        <v>5.5748239694420159</v>
      </c>
      <c r="H31">
        <v>1.7937754423251511</v>
      </c>
      <c r="I31">
        <v>0.13074165031524421</v>
      </c>
      <c r="J31">
        <v>0.19986329999999999</v>
      </c>
      <c r="K31">
        <v>0.33800000000000002</v>
      </c>
      <c r="L31">
        <v>19.399999999999999</v>
      </c>
      <c r="M31">
        <v>0.1673883399918662</v>
      </c>
      <c r="N31">
        <v>240</v>
      </c>
      <c r="O31">
        <v>7</v>
      </c>
      <c r="P31">
        <v>33.576413242999998</v>
      </c>
      <c r="Q31">
        <v>43.144140102999998</v>
      </c>
      <c r="R31">
        <v>21.469350984999998</v>
      </c>
      <c r="S31">
        <v>1.735441019</v>
      </c>
      <c r="T31">
        <v>7.4654649999985168E-2</v>
      </c>
      <c r="U31" t="s">
        <v>70</v>
      </c>
      <c r="V31">
        <v>2562.6462483525811</v>
      </c>
      <c r="W31">
        <v>43.91984973191763</v>
      </c>
      <c r="AK31">
        <v>2562.6462483525811</v>
      </c>
      <c r="AL31">
        <v>43.91984973191763</v>
      </c>
      <c r="AM31" t="s">
        <v>122</v>
      </c>
      <c r="AN31">
        <v>13.316485299749999</v>
      </c>
      <c r="AO31">
        <v>3</v>
      </c>
      <c r="AP31">
        <f t="shared" si="0"/>
        <v>5.0251024826125021E-2</v>
      </c>
    </row>
    <row r="32" spans="1:42" x14ac:dyDescent="0.2">
      <c r="A32" t="s">
        <v>71</v>
      </c>
      <c r="B32">
        <v>2017</v>
      </c>
      <c r="C32">
        <v>209.27071369110971</v>
      </c>
      <c r="D32">
        <v>99.08571388429344</v>
      </c>
      <c r="E32">
        <v>10.888539987285</v>
      </c>
      <c r="F32">
        <v>3.172897136079821</v>
      </c>
      <c r="G32">
        <v>8.0083455390354157</v>
      </c>
      <c r="H32">
        <v>2.0489188148116928</v>
      </c>
      <c r="I32">
        <v>0.19903782772456441</v>
      </c>
      <c r="J32">
        <v>0.25294070000000002</v>
      </c>
      <c r="K32">
        <v>0.36299999999999999</v>
      </c>
      <c r="L32">
        <v>19.2</v>
      </c>
      <c r="M32">
        <v>0.1487319475529536</v>
      </c>
      <c r="N32">
        <v>161</v>
      </c>
      <c r="O32">
        <v>3</v>
      </c>
      <c r="P32">
        <v>28.775847158000001</v>
      </c>
      <c r="Q32">
        <v>46.277451459000012</v>
      </c>
      <c r="R32">
        <v>16.175789744999999</v>
      </c>
      <c r="S32">
        <v>7.9448882039999997</v>
      </c>
      <c r="T32">
        <v>0.82602343399999256</v>
      </c>
      <c r="U32" t="s">
        <v>71</v>
      </c>
      <c r="V32">
        <v>2752.7965427844651</v>
      </c>
      <c r="W32">
        <v>30.160604808316108</v>
      </c>
      <c r="AK32">
        <v>2752.7965427844651</v>
      </c>
      <c r="AL32">
        <v>30.160604808316108</v>
      </c>
      <c r="AM32" t="s">
        <v>128</v>
      </c>
      <c r="AN32">
        <v>13.0435883467</v>
      </c>
      <c r="AO32">
        <v>2</v>
      </c>
      <c r="AP32">
        <f t="shared" si="0"/>
        <v>3.921897728544254E-2</v>
      </c>
    </row>
    <row r="33" spans="1:42" x14ac:dyDescent="0.2">
      <c r="A33" t="s">
        <v>72</v>
      </c>
      <c r="B33">
        <v>2017</v>
      </c>
      <c r="C33">
        <v>105.65565908773139</v>
      </c>
      <c r="D33">
        <v>61.44841939525849</v>
      </c>
      <c r="E33">
        <v>5.1563238883847351</v>
      </c>
      <c r="F33">
        <v>2.1106196227067051</v>
      </c>
      <c r="G33">
        <v>5.6728468340260383</v>
      </c>
      <c r="H33">
        <v>2.0037528063671251</v>
      </c>
      <c r="I33">
        <v>8.9055680282983302E-2</v>
      </c>
      <c r="J33">
        <v>0.36271209999999998</v>
      </c>
      <c r="K33">
        <v>0.372</v>
      </c>
      <c r="L33">
        <v>10.3</v>
      </c>
      <c r="M33">
        <v>0.1662300649813305</v>
      </c>
      <c r="N33">
        <v>179</v>
      </c>
      <c r="O33">
        <v>8</v>
      </c>
      <c r="P33">
        <v>34.144110828999999</v>
      </c>
      <c r="Q33">
        <v>50.272632151000003</v>
      </c>
      <c r="R33">
        <v>13.006889996</v>
      </c>
      <c r="S33">
        <v>2.5122783050000002</v>
      </c>
      <c r="T33">
        <v>6.4088718999997241E-2</v>
      </c>
      <c r="U33" t="s">
        <v>72</v>
      </c>
      <c r="V33">
        <v>2949.3362190997641</v>
      </c>
      <c r="W33">
        <v>32.205597028360991</v>
      </c>
      <c r="AK33">
        <v>2949.3362190997641</v>
      </c>
      <c r="AL33">
        <v>32.205597028360991</v>
      </c>
      <c r="AM33" t="s">
        <v>127</v>
      </c>
      <c r="AN33">
        <v>13.189369670990001</v>
      </c>
      <c r="AO33">
        <v>3</v>
      </c>
      <c r="AP33">
        <f t="shared" si="0"/>
        <v>5.4534726904922469E-2</v>
      </c>
    </row>
    <row r="34" spans="1:42" x14ac:dyDescent="0.2">
      <c r="A34" t="s">
        <v>73</v>
      </c>
      <c r="B34">
        <v>2017</v>
      </c>
      <c r="C34">
        <v>102.733610280839</v>
      </c>
      <c r="D34">
        <v>47.033454693188737</v>
      </c>
      <c r="E34">
        <v>6.89206413693499</v>
      </c>
      <c r="F34">
        <v>3.5157898026469989</v>
      </c>
      <c r="G34">
        <v>5.7368760589224053</v>
      </c>
      <c r="H34">
        <v>2.5224396679308621</v>
      </c>
      <c r="I34">
        <v>7.8128662281044398E-2</v>
      </c>
      <c r="J34">
        <v>0.53998330000000005</v>
      </c>
      <c r="K34">
        <v>0.36599999999999999</v>
      </c>
      <c r="L34">
        <v>9.3000000000000007</v>
      </c>
      <c r="M34">
        <v>0.17710459207911</v>
      </c>
      <c r="N34">
        <v>158</v>
      </c>
      <c r="O34">
        <v>1</v>
      </c>
      <c r="P34">
        <v>29.032813383000001</v>
      </c>
      <c r="Q34">
        <v>48.557433349</v>
      </c>
      <c r="R34">
        <v>18.835420422999999</v>
      </c>
      <c r="S34">
        <v>3.2266088709999998</v>
      </c>
      <c r="T34">
        <v>0.34772397400000438</v>
      </c>
      <c r="U34" t="s">
        <v>73</v>
      </c>
      <c r="V34">
        <v>2518.1298660157822</v>
      </c>
      <c r="W34">
        <v>31.000390261402099</v>
      </c>
      <c r="AK34">
        <v>2518.1298660157822</v>
      </c>
      <c r="AL34">
        <v>31.000390261402099</v>
      </c>
      <c r="AM34" t="s">
        <v>125</v>
      </c>
      <c r="AN34">
        <v>12.9729045869</v>
      </c>
      <c r="AO34">
        <v>2</v>
      </c>
      <c r="AP34">
        <f t="shared" si="0"/>
        <v>5.660274865554895E-2</v>
      </c>
    </row>
    <row r="35" spans="1:42" x14ac:dyDescent="0.2">
      <c r="A35" t="s">
        <v>74</v>
      </c>
      <c r="B35">
        <v>2017</v>
      </c>
      <c r="C35">
        <v>109.7541041029353</v>
      </c>
      <c r="D35">
        <v>63.275100521440102</v>
      </c>
      <c r="E35">
        <v>4.2379441300581808</v>
      </c>
      <c r="F35">
        <v>2.5946596714641919</v>
      </c>
      <c r="G35">
        <v>4.9557999724966084</v>
      </c>
      <c r="H35">
        <v>1.8162617700249339</v>
      </c>
      <c r="I35">
        <v>8.6488655715472998E-2</v>
      </c>
      <c r="J35">
        <v>0.44728010000000001</v>
      </c>
      <c r="K35">
        <v>0.38500000000000001</v>
      </c>
      <c r="L35">
        <v>8.9</v>
      </c>
      <c r="M35">
        <v>0.1630458575024625</v>
      </c>
      <c r="N35">
        <v>104</v>
      </c>
      <c r="O35">
        <v>5</v>
      </c>
      <c r="P35">
        <v>31.022878278</v>
      </c>
      <c r="Q35">
        <v>50.801464993000003</v>
      </c>
      <c r="R35">
        <v>15.383624177</v>
      </c>
      <c r="S35">
        <v>2.5573503729999998</v>
      </c>
      <c r="T35">
        <v>0.2346821789999893</v>
      </c>
      <c r="U35" t="s">
        <v>74</v>
      </c>
      <c r="V35">
        <v>2666.9274597075978</v>
      </c>
      <c r="W35">
        <v>35.223412998418077</v>
      </c>
      <c r="AK35">
        <v>2666.9274597075978</v>
      </c>
      <c r="AL35">
        <v>35.223412998418077</v>
      </c>
      <c r="AM35" t="s">
        <v>127</v>
      </c>
      <c r="AN35">
        <v>12.96048721032</v>
      </c>
      <c r="AO35">
        <v>1</v>
      </c>
      <c r="AP35">
        <f t="shared" si="0"/>
        <v>4.5941686367218307E-2</v>
      </c>
    </row>
    <row r="36" spans="1:42" x14ac:dyDescent="0.2">
      <c r="A36" t="s">
        <v>75</v>
      </c>
      <c r="B36">
        <v>2017</v>
      </c>
      <c r="C36">
        <v>190.35515559524629</v>
      </c>
      <c r="D36">
        <v>117.950127086625</v>
      </c>
      <c r="E36">
        <v>12.43388060726798</v>
      </c>
      <c r="F36">
        <v>6.1138970941814934</v>
      </c>
      <c r="G36">
        <v>15.3190904719379</v>
      </c>
      <c r="H36">
        <v>9.5486707425980644</v>
      </c>
      <c r="I36">
        <v>0</v>
      </c>
      <c r="J36">
        <v>1.1259916000000001</v>
      </c>
      <c r="K36">
        <v>0.38700000000000001</v>
      </c>
      <c r="L36">
        <v>11.1</v>
      </c>
      <c r="M36">
        <v>0.1690254835228687</v>
      </c>
      <c r="N36">
        <v>26</v>
      </c>
      <c r="O36">
        <v>1</v>
      </c>
      <c r="P36">
        <v>32.859169379000001</v>
      </c>
      <c r="Q36">
        <v>36.589636228000003</v>
      </c>
      <c r="R36">
        <v>27.484262146999999</v>
      </c>
      <c r="S36">
        <v>2.8286068879999999</v>
      </c>
      <c r="T36">
        <v>0.23832535800001151</v>
      </c>
      <c r="U36" t="s">
        <v>75</v>
      </c>
      <c r="V36">
        <v>2803.2181055496949</v>
      </c>
      <c r="W36">
        <v>36.323849540943449</v>
      </c>
      <c r="AK36">
        <v>2803.2181055496949</v>
      </c>
      <c r="AL36">
        <v>36.323849540943449</v>
      </c>
      <c r="AM36" t="s">
        <v>124</v>
      </c>
      <c r="AN36">
        <v>13.14126742579</v>
      </c>
      <c r="AO36">
        <v>3</v>
      </c>
      <c r="AP36">
        <f t="shared" si="0"/>
        <v>8.0476362324070724E-2</v>
      </c>
    </row>
    <row r="37" spans="1:42" x14ac:dyDescent="0.2">
      <c r="A37" t="s">
        <v>76</v>
      </c>
      <c r="B37">
        <v>2017</v>
      </c>
      <c r="C37">
        <v>107.37800211484419</v>
      </c>
      <c r="D37">
        <v>54.258606890185838</v>
      </c>
      <c r="E37">
        <v>4.9657944394786506</v>
      </c>
      <c r="F37">
        <v>1.9863177757914601</v>
      </c>
      <c r="G37">
        <v>6.002769160663898</v>
      </c>
      <c r="H37">
        <v>2.7019763861869119</v>
      </c>
      <c r="I37">
        <v>2.9210555526345001E-2</v>
      </c>
      <c r="J37">
        <v>0.259602</v>
      </c>
      <c r="K37">
        <v>0.36599999999999999</v>
      </c>
      <c r="L37">
        <v>21.7</v>
      </c>
      <c r="M37">
        <v>0.17490536337264281</v>
      </c>
      <c r="N37">
        <v>103</v>
      </c>
      <c r="O37">
        <v>3</v>
      </c>
      <c r="P37">
        <v>28.242397188999998</v>
      </c>
      <c r="Q37">
        <v>46.717960417999997</v>
      </c>
      <c r="R37">
        <v>20.823891513</v>
      </c>
      <c r="S37">
        <v>3.8306935200000001</v>
      </c>
      <c r="T37">
        <v>0.38505736000000468</v>
      </c>
      <c r="U37" t="s">
        <v>118</v>
      </c>
      <c r="V37">
        <v>2927.0848552913681</v>
      </c>
      <c r="W37">
        <v>34.514323619465983</v>
      </c>
      <c r="AM37" t="s">
        <v>126</v>
      </c>
      <c r="AN37">
        <v>13.824017714029999</v>
      </c>
      <c r="AO37">
        <v>3</v>
      </c>
      <c r="AP37">
        <f t="shared" si="0"/>
        <v>5.6175190424374334E-2</v>
      </c>
    </row>
    <row r="38" spans="1:42" x14ac:dyDescent="0.2">
      <c r="A38" t="s">
        <v>77</v>
      </c>
      <c r="B38">
        <v>2017</v>
      </c>
      <c r="C38">
        <v>98.473670475585038</v>
      </c>
      <c r="D38">
        <v>63.187890286330557</v>
      </c>
      <c r="E38">
        <v>6.060298735623797</v>
      </c>
      <c r="F38">
        <v>1.9788730565302191</v>
      </c>
      <c r="G38">
        <v>8.6575696223197092</v>
      </c>
      <c r="H38">
        <v>4.4648323337963074</v>
      </c>
      <c r="I38">
        <v>0.1236795660331387</v>
      </c>
      <c r="J38">
        <v>0.29036240000000002</v>
      </c>
      <c r="K38">
        <v>0.35499999999999998</v>
      </c>
      <c r="L38">
        <v>18.2</v>
      </c>
      <c r="M38">
        <v>0.1748811028060106</v>
      </c>
      <c r="N38">
        <v>102</v>
      </c>
      <c r="O38">
        <v>3</v>
      </c>
      <c r="P38">
        <v>34.704658805999998</v>
      </c>
      <c r="Q38">
        <v>43.821334475</v>
      </c>
      <c r="R38">
        <v>17.205572019000002</v>
      </c>
      <c r="S38">
        <v>3.5088962609999998</v>
      </c>
      <c r="T38">
        <v>0.7595384389999964</v>
      </c>
      <c r="U38" t="s">
        <v>77</v>
      </c>
      <c r="V38">
        <v>2818.2249001460282</v>
      </c>
      <c r="W38">
        <v>39.686533534119683</v>
      </c>
      <c r="AK38">
        <v>2818.2249001460282</v>
      </c>
      <c r="AL38">
        <v>39.686533534119683</v>
      </c>
      <c r="AM38" t="s">
        <v>126</v>
      </c>
      <c r="AN38">
        <v>13.411281531469999</v>
      </c>
      <c r="AO38">
        <v>3</v>
      </c>
      <c r="AP38">
        <f t="shared" si="0"/>
        <v>8.9173574478774179E-2</v>
      </c>
    </row>
    <row r="39" spans="1:42" x14ac:dyDescent="0.2">
      <c r="A39" t="s">
        <v>78</v>
      </c>
      <c r="B39">
        <v>2017</v>
      </c>
      <c r="C39">
        <v>113.1877902509914</v>
      </c>
      <c r="D39">
        <v>26.92343480123521</v>
      </c>
      <c r="E39">
        <v>8.7038950414937357</v>
      </c>
      <c r="F39">
        <v>1.9150830682425439</v>
      </c>
      <c r="G39">
        <v>8.4244269935764358</v>
      </c>
      <c r="H39">
        <v>2.100856626106645</v>
      </c>
      <c r="I39">
        <v>0.1203489570510919</v>
      </c>
      <c r="J39">
        <v>1.3155425999999999</v>
      </c>
      <c r="K39">
        <v>0.41599999999999998</v>
      </c>
      <c r="L39">
        <v>7.6</v>
      </c>
      <c r="M39">
        <v>0.1745772807895288</v>
      </c>
      <c r="N39">
        <v>411</v>
      </c>
      <c r="O39">
        <v>161</v>
      </c>
      <c r="P39">
        <v>49.077023294</v>
      </c>
      <c r="Q39">
        <v>43.644180433000002</v>
      </c>
      <c r="R39">
        <v>6.6882935860000003</v>
      </c>
      <c r="S39">
        <v>0.58776723399999997</v>
      </c>
      <c r="T39">
        <v>2.7354529999996662E-3</v>
      </c>
      <c r="U39" t="s">
        <v>78</v>
      </c>
      <c r="V39">
        <v>2254.7232719467402</v>
      </c>
      <c r="W39">
        <v>26.010943146556698</v>
      </c>
      <c r="X39">
        <v>5.78</v>
      </c>
      <c r="Y39">
        <v>2.67</v>
      </c>
      <c r="Z39">
        <v>9.07</v>
      </c>
      <c r="AA39">
        <v>2.21</v>
      </c>
      <c r="AC39">
        <v>743.63</v>
      </c>
      <c r="AD39">
        <v>760.88</v>
      </c>
      <c r="AE39">
        <v>0.05</v>
      </c>
      <c r="AF39">
        <v>80.31</v>
      </c>
      <c r="AG39">
        <v>12</v>
      </c>
      <c r="AH39">
        <v>4.25</v>
      </c>
      <c r="AI39">
        <v>11.66</v>
      </c>
      <c r="AJ39">
        <v>12.95</v>
      </c>
      <c r="AK39">
        <v>2254.7232719467402</v>
      </c>
      <c r="AL39">
        <v>26.010943146556698</v>
      </c>
      <c r="AM39" t="s">
        <v>127</v>
      </c>
      <c r="AN39">
        <v>13.16206112878</v>
      </c>
      <c r="AO39">
        <v>3</v>
      </c>
      <c r="AP39">
        <f t="shared" si="0"/>
        <v>7.5492029057901727E-2</v>
      </c>
    </row>
    <row r="40" spans="1:42" x14ac:dyDescent="0.2">
      <c r="A40" t="s">
        <v>79</v>
      </c>
      <c r="B40">
        <v>2017</v>
      </c>
      <c r="C40">
        <v>113.5681830734144</v>
      </c>
      <c r="D40">
        <v>53.109933764129167</v>
      </c>
      <c r="E40">
        <v>6.4390372696326654</v>
      </c>
      <c r="F40">
        <v>2.871972271727373</v>
      </c>
      <c r="G40">
        <v>5.4273809956799184</v>
      </c>
      <c r="H40">
        <v>2.4382128573295239</v>
      </c>
      <c r="I40">
        <v>0.13874912945024359</v>
      </c>
      <c r="J40">
        <v>0.53466650000000004</v>
      </c>
      <c r="K40">
        <v>0.38400000000000001</v>
      </c>
      <c r="L40">
        <v>8.5</v>
      </c>
      <c r="M40">
        <v>0.17542679412324849</v>
      </c>
      <c r="N40">
        <v>444</v>
      </c>
      <c r="O40">
        <v>24</v>
      </c>
      <c r="P40">
        <v>43.180077076000003</v>
      </c>
      <c r="Q40">
        <v>36.973919080000002</v>
      </c>
      <c r="R40">
        <v>17.431143528</v>
      </c>
      <c r="S40">
        <v>2.272805779</v>
      </c>
      <c r="T40">
        <v>0.14205453699999279</v>
      </c>
      <c r="U40" t="s">
        <v>79</v>
      </c>
      <c r="V40">
        <v>2841.6594973131942</v>
      </c>
      <c r="W40">
        <v>28.135613007905761</v>
      </c>
      <c r="AK40">
        <v>2841.6594973131942</v>
      </c>
      <c r="AL40">
        <v>28.135613007905761</v>
      </c>
      <c r="AM40" t="s">
        <v>127</v>
      </c>
      <c r="AN40">
        <v>13.12722792862</v>
      </c>
      <c r="AO40">
        <v>3</v>
      </c>
      <c r="AP40">
        <f t="shared" si="0"/>
        <v>4.9011351370586098E-2</v>
      </c>
    </row>
    <row r="41" spans="1:42" x14ac:dyDescent="0.2">
      <c r="A41" t="s">
        <v>80</v>
      </c>
      <c r="B41">
        <v>2017</v>
      </c>
      <c r="C41">
        <v>168.59353159429321</v>
      </c>
      <c r="D41">
        <v>82.600667088161501</v>
      </c>
      <c r="E41">
        <v>10.40097885354287</v>
      </c>
      <c r="F41">
        <v>4.0653572168670076</v>
      </c>
      <c r="G41">
        <v>5.9000476491543923</v>
      </c>
      <c r="H41">
        <v>2.8114321012749119</v>
      </c>
      <c r="I41">
        <v>9.2394482201522896E-2</v>
      </c>
      <c r="J41">
        <v>0.66630640000000008</v>
      </c>
      <c r="K41">
        <v>0.36899999999999999</v>
      </c>
      <c r="L41">
        <v>10.8</v>
      </c>
      <c r="M41">
        <v>0.1708860060265755</v>
      </c>
      <c r="N41">
        <v>86</v>
      </c>
      <c r="O41">
        <v>3</v>
      </c>
      <c r="P41">
        <v>32.161985774999998</v>
      </c>
      <c r="Q41">
        <v>48.784048515000002</v>
      </c>
      <c r="R41">
        <v>14.574298139</v>
      </c>
      <c r="S41">
        <v>4.2695491490000004</v>
      </c>
      <c r="T41">
        <v>0.21011842199999359</v>
      </c>
      <c r="U41" t="s">
        <v>80</v>
      </c>
      <c r="V41">
        <v>2485.0525269077448</v>
      </c>
      <c r="W41">
        <v>27.127775668750161</v>
      </c>
      <c r="X41">
        <v>0.11</v>
      </c>
      <c r="Y41">
        <v>-3.77</v>
      </c>
      <c r="Z41">
        <v>3.24</v>
      </c>
      <c r="AC41">
        <v>749.52</v>
      </c>
      <c r="AF41">
        <v>76.260000000000005</v>
      </c>
      <c r="AH41">
        <v>2.6</v>
      </c>
      <c r="AK41">
        <v>2485.0525269077448</v>
      </c>
      <c r="AL41">
        <v>27.127775668750161</v>
      </c>
      <c r="AM41" t="s">
        <v>125</v>
      </c>
      <c r="AN41">
        <v>12.878703056639999</v>
      </c>
      <c r="AO41">
        <v>1</v>
      </c>
      <c r="AP41">
        <f t="shared" si="0"/>
        <v>3.5543725045016829E-2</v>
      </c>
    </row>
    <row r="42" spans="1:42" x14ac:dyDescent="0.2">
      <c r="A42" t="s">
        <v>81</v>
      </c>
      <c r="B42">
        <v>2017</v>
      </c>
      <c r="C42">
        <v>129.71281637262899</v>
      </c>
      <c r="D42">
        <v>50.497072863273331</v>
      </c>
      <c r="E42">
        <v>7.8670744613209358</v>
      </c>
      <c r="F42">
        <v>2.047594722809559</v>
      </c>
      <c r="G42">
        <v>4.7325610360275059</v>
      </c>
      <c r="H42">
        <v>2.2384982909512021</v>
      </c>
      <c r="I42">
        <v>4.3107257322306497E-2</v>
      </c>
      <c r="J42">
        <v>0.43096699999999999</v>
      </c>
      <c r="K42">
        <v>0.39700000000000002</v>
      </c>
      <c r="L42">
        <v>10</v>
      </c>
      <c r="M42">
        <v>0.17119776986216509</v>
      </c>
      <c r="N42">
        <v>323</v>
      </c>
      <c r="O42">
        <v>11</v>
      </c>
      <c r="P42">
        <v>31.422692759</v>
      </c>
      <c r="Q42">
        <v>47.136229266000001</v>
      </c>
      <c r="R42">
        <v>18.267690082000001</v>
      </c>
      <c r="S42">
        <v>2.9946557089999999</v>
      </c>
      <c r="T42">
        <v>0.1787321839999976</v>
      </c>
      <c r="U42" t="s">
        <v>81</v>
      </c>
      <c r="V42">
        <v>2700.509267628021</v>
      </c>
      <c r="W42">
        <v>29.124656807374478</v>
      </c>
      <c r="AK42">
        <v>2700.509267628021</v>
      </c>
      <c r="AL42">
        <v>29.124656807374478</v>
      </c>
      <c r="AM42" t="s">
        <v>126</v>
      </c>
      <c r="AN42">
        <v>13.011779614610001</v>
      </c>
      <c r="AO42">
        <v>2</v>
      </c>
      <c r="AP42">
        <f t="shared" si="0"/>
        <v>3.6817243098250525E-2</v>
      </c>
    </row>
    <row r="43" spans="1:42" x14ac:dyDescent="0.2">
      <c r="A43" t="s">
        <v>82</v>
      </c>
      <c r="B43">
        <v>2017</v>
      </c>
      <c r="C43">
        <v>181.26695857454919</v>
      </c>
      <c r="D43">
        <v>80.062430410662799</v>
      </c>
      <c r="E43">
        <v>6.6609852380812447</v>
      </c>
      <c r="F43">
        <v>3.4284482843065232</v>
      </c>
      <c r="G43">
        <v>7.3956527275755004</v>
      </c>
      <c r="H43">
        <v>2.5305213527024328</v>
      </c>
      <c r="I43">
        <v>4.8977832632950302E-2</v>
      </c>
      <c r="J43">
        <v>0.4221376</v>
      </c>
      <c r="K43">
        <v>0.36199999999999999</v>
      </c>
      <c r="L43">
        <v>13.9</v>
      </c>
      <c r="M43">
        <v>0.158369371702858</v>
      </c>
      <c r="N43">
        <v>87</v>
      </c>
      <c r="O43">
        <v>1</v>
      </c>
      <c r="P43">
        <v>25.386974568999999</v>
      </c>
      <c r="Q43">
        <v>50.804103308000002</v>
      </c>
      <c r="R43">
        <v>17.416177878999999</v>
      </c>
      <c r="S43">
        <v>5.8926820959999997</v>
      </c>
      <c r="T43">
        <v>0.50006214799999782</v>
      </c>
      <c r="U43" t="s">
        <v>82</v>
      </c>
      <c r="V43">
        <v>2647.239240372237</v>
      </c>
      <c r="W43">
        <v>32.39217700026137</v>
      </c>
      <c r="AK43">
        <v>2647.239240372237</v>
      </c>
      <c r="AL43">
        <v>32.39217700026137</v>
      </c>
      <c r="AM43" t="s">
        <v>125</v>
      </c>
      <c r="AN43">
        <v>12.773826424599999</v>
      </c>
      <c r="AO43">
        <v>1</v>
      </c>
      <c r="AP43">
        <f t="shared" si="0"/>
        <v>4.1069981086192919E-2</v>
      </c>
    </row>
    <row r="44" spans="1:42" x14ac:dyDescent="0.2">
      <c r="A44" t="s">
        <v>83</v>
      </c>
      <c r="B44">
        <v>2017</v>
      </c>
      <c r="C44">
        <v>159.55431714788881</v>
      </c>
      <c r="D44">
        <v>65.690371300441967</v>
      </c>
      <c r="E44">
        <v>7.4400398624959756</v>
      </c>
      <c r="F44">
        <v>3.0904227475261332</v>
      </c>
      <c r="G44">
        <v>6.7888564896179417</v>
      </c>
      <c r="H44">
        <v>2.5183887348874192</v>
      </c>
      <c r="I44">
        <v>7.5551662046622503E-2</v>
      </c>
      <c r="J44">
        <v>0.42213420000000001</v>
      </c>
      <c r="K44">
        <v>0.374</v>
      </c>
      <c r="L44">
        <v>15.1</v>
      </c>
      <c r="M44">
        <v>0.18271633535363821</v>
      </c>
      <c r="N44">
        <v>206</v>
      </c>
      <c r="O44">
        <v>21</v>
      </c>
      <c r="P44">
        <v>34.860921869000002</v>
      </c>
      <c r="Q44">
        <v>37.396916935</v>
      </c>
      <c r="R44">
        <v>22.330759141000001</v>
      </c>
      <c r="S44">
        <v>4.9640509000000002</v>
      </c>
      <c r="T44">
        <v>0.44735115499999267</v>
      </c>
      <c r="U44" t="s">
        <v>83</v>
      </c>
      <c r="V44">
        <v>2697.450575669473</v>
      </c>
      <c r="W44">
        <v>31.861360008247601</v>
      </c>
      <c r="AK44">
        <v>2697.450575669473</v>
      </c>
      <c r="AL44">
        <v>31.861360008247601</v>
      </c>
      <c r="AM44" t="s">
        <v>123</v>
      </c>
      <c r="AN44">
        <v>12.987010830519999</v>
      </c>
      <c r="AO44">
        <v>2</v>
      </c>
      <c r="AP44">
        <f t="shared" si="0"/>
        <v>4.3022390583778651E-2</v>
      </c>
    </row>
    <row r="45" spans="1:42" x14ac:dyDescent="0.2">
      <c r="A45" t="s">
        <v>84</v>
      </c>
      <c r="B45">
        <v>2017</v>
      </c>
      <c r="C45">
        <v>144.3060767016681</v>
      </c>
      <c r="D45">
        <v>73.595237346921607</v>
      </c>
      <c r="E45">
        <v>9.3476799605815835</v>
      </c>
      <c r="F45">
        <v>3.2797987714188088</v>
      </c>
      <c r="G45">
        <v>8.541670679815601</v>
      </c>
      <c r="H45">
        <v>3.5028453648383269</v>
      </c>
      <c r="I45">
        <v>5.0692407595344803E-2</v>
      </c>
      <c r="J45">
        <v>0.35890939999999999</v>
      </c>
      <c r="K45">
        <v>0.39100000000000001</v>
      </c>
      <c r="L45">
        <v>14.2</v>
      </c>
      <c r="M45">
        <v>0.17345833969895669</v>
      </c>
      <c r="N45">
        <v>271</v>
      </c>
      <c r="O45">
        <v>13</v>
      </c>
      <c r="P45">
        <v>26.839534717999999</v>
      </c>
      <c r="Q45">
        <v>44.768562877999997</v>
      </c>
      <c r="R45">
        <v>20.572775284999999</v>
      </c>
      <c r="S45">
        <v>7.044253533</v>
      </c>
      <c r="T45">
        <v>0.77487358599999823</v>
      </c>
      <c r="U45" t="s">
        <v>84</v>
      </c>
      <c r="V45">
        <v>2576.7415601395578</v>
      </c>
      <c r="W45">
        <v>33.454534883380688</v>
      </c>
      <c r="AK45">
        <v>2576.7415601395578</v>
      </c>
      <c r="AL45">
        <v>33.454534883380688</v>
      </c>
      <c r="AM45" t="s">
        <v>123</v>
      </c>
      <c r="AN45">
        <v>13.299379818449999</v>
      </c>
      <c r="AO45">
        <v>3</v>
      </c>
      <c r="AP45">
        <f t="shared" si="0"/>
        <v>5.9542628306460108E-2</v>
      </c>
    </row>
    <row r="46" spans="1:42" x14ac:dyDescent="0.2">
      <c r="A46" t="s">
        <v>85</v>
      </c>
      <c r="B46">
        <v>2017</v>
      </c>
      <c r="C46">
        <v>136.77196647146721</v>
      </c>
      <c r="D46">
        <v>76.669101005282997</v>
      </c>
      <c r="E46">
        <v>11.364156114654831</v>
      </c>
      <c r="F46">
        <v>2.4929771927770008</v>
      </c>
      <c r="G46">
        <v>5.6795649754798596</v>
      </c>
      <c r="H46">
        <v>3.950564664360328</v>
      </c>
      <c r="I46">
        <v>0.14073258346321779</v>
      </c>
      <c r="J46">
        <v>0.45000990000000002</v>
      </c>
      <c r="K46">
        <v>0.38300000000000001</v>
      </c>
      <c r="L46">
        <v>14</v>
      </c>
      <c r="M46">
        <v>0.17117141618282061</v>
      </c>
      <c r="N46">
        <v>261</v>
      </c>
      <c r="O46">
        <v>5</v>
      </c>
      <c r="P46">
        <v>26.461635803</v>
      </c>
      <c r="Q46">
        <v>52.369402371</v>
      </c>
      <c r="R46">
        <v>15.69193383</v>
      </c>
      <c r="S46">
        <v>5.2909862140000001</v>
      </c>
      <c r="T46">
        <v>0.18604178200000379</v>
      </c>
      <c r="U46" t="s">
        <v>85</v>
      </c>
      <c r="V46">
        <v>2807.8665405873671</v>
      </c>
      <c r="W46">
        <v>29.668541848745249</v>
      </c>
      <c r="AK46">
        <v>2807.8665405873671</v>
      </c>
      <c r="AL46">
        <v>29.668541848745249</v>
      </c>
      <c r="AM46" t="s">
        <v>126</v>
      </c>
      <c r="AN46">
        <v>13.15962822887</v>
      </c>
      <c r="AO46">
        <v>3</v>
      </c>
      <c r="AP46">
        <f t="shared" si="0"/>
        <v>4.2554755255034542E-2</v>
      </c>
    </row>
    <row r="47" spans="1:42" x14ac:dyDescent="0.2">
      <c r="A47" t="s">
        <v>86</v>
      </c>
      <c r="B47">
        <v>2017</v>
      </c>
      <c r="C47">
        <v>117.2206206545701</v>
      </c>
      <c r="D47">
        <v>54.410611327793788</v>
      </c>
      <c r="E47">
        <v>4.2526920468034604</v>
      </c>
      <c r="F47">
        <v>2.1064736306596581</v>
      </c>
      <c r="G47">
        <v>6.3459174156350686</v>
      </c>
      <c r="H47">
        <v>2.3979353908767171</v>
      </c>
      <c r="I47">
        <v>0.15897914193657789</v>
      </c>
      <c r="J47">
        <v>0.30871890000000002</v>
      </c>
      <c r="K47">
        <v>0.36799999999999999</v>
      </c>
      <c r="L47">
        <v>13.9</v>
      </c>
      <c r="M47">
        <v>0.1700659573111101</v>
      </c>
      <c r="N47">
        <v>111</v>
      </c>
      <c r="O47">
        <v>4</v>
      </c>
      <c r="P47">
        <v>34.478334107000002</v>
      </c>
      <c r="Q47">
        <v>49.775234353999998</v>
      </c>
      <c r="R47">
        <v>11.983519896000001</v>
      </c>
      <c r="S47">
        <v>3.7629116420000002</v>
      </c>
      <c r="T47">
        <v>9.999894245993346E-10</v>
      </c>
      <c r="U47" t="s">
        <v>86</v>
      </c>
      <c r="V47">
        <v>2415.755073028326</v>
      </c>
      <c r="W47">
        <v>32.173835649340319</v>
      </c>
      <c r="AK47">
        <v>2415.755073028326</v>
      </c>
      <c r="AL47">
        <v>32.173835649340319</v>
      </c>
      <c r="AM47" t="s">
        <v>127</v>
      </c>
      <c r="AN47">
        <v>12.90105624934</v>
      </c>
      <c r="AO47">
        <v>1</v>
      </c>
      <c r="AP47">
        <f t="shared" si="0"/>
        <v>5.5492766726943948E-2</v>
      </c>
    </row>
    <row r="48" spans="1:42" x14ac:dyDescent="0.2">
      <c r="A48" t="s">
        <v>87</v>
      </c>
      <c r="B48">
        <v>2017</v>
      </c>
      <c r="C48">
        <v>88.101162407586571</v>
      </c>
      <c r="D48">
        <v>55.981024594379832</v>
      </c>
      <c r="E48">
        <v>4.3756140395340823</v>
      </c>
      <c r="F48">
        <v>2.1840799209258712</v>
      </c>
      <c r="G48">
        <v>4.5396063885455824</v>
      </c>
      <c r="H48">
        <v>2.4375226421254599</v>
      </c>
      <c r="I48">
        <v>7.4541976823408504E-2</v>
      </c>
      <c r="J48">
        <v>0.28303650000000002</v>
      </c>
      <c r="K48">
        <v>0.35599999999999998</v>
      </c>
      <c r="L48">
        <v>14.2</v>
      </c>
      <c r="M48">
        <v>0.16715544280269951</v>
      </c>
      <c r="N48">
        <v>161</v>
      </c>
      <c r="O48">
        <v>4</v>
      </c>
      <c r="P48">
        <v>30.466217514</v>
      </c>
      <c r="Q48">
        <v>50.124625834</v>
      </c>
      <c r="R48">
        <v>16.737096391000001</v>
      </c>
      <c r="S48">
        <v>2.5106245980000002</v>
      </c>
      <c r="T48">
        <v>0.161435663000006</v>
      </c>
      <c r="U48" t="s">
        <v>87</v>
      </c>
      <c r="V48">
        <v>2896.2637528673122</v>
      </c>
      <c r="W48">
        <v>34.877178313530138</v>
      </c>
      <c r="AK48">
        <v>2896.2637528673122</v>
      </c>
      <c r="AL48">
        <v>34.877178313530138</v>
      </c>
      <c r="AM48" t="s">
        <v>126</v>
      </c>
      <c r="AN48">
        <v>13.075823392369999</v>
      </c>
      <c r="AO48">
        <v>2</v>
      </c>
      <c r="AP48">
        <f t="shared" si="0"/>
        <v>5.2373297233268487E-2</v>
      </c>
    </row>
    <row r="49" spans="1:42" x14ac:dyDescent="0.2">
      <c r="A49" t="s">
        <v>88</v>
      </c>
      <c r="B49">
        <v>2017</v>
      </c>
      <c r="C49">
        <v>167.1480952259738</v>
      </c>
      <c r="D49">
        <v>86.391193029740165</v>
      </c>
      <c r="E49">
        <v>10.6796975947315</v>
      </c>
      <c r="F49">
        <v>3.6358842398285471</v>
      </c>
      <c r="G49">
        <v>6.7246761802471564</v>
      </c>
      <c r="H49">
        <v>3.65108124814549</v>
      </c>
      <c r="I49">
        <v>0.16336783940713431</v>
      </c>
      <c r="J49">
        <v>0.47730289999999997</v>
      </c>
      <c r="K49">
        <v>0.40400000000000003</v>
      </c>
      <c r="L49">
        <v>15.1</v>
      </c>
      <c r="M49">
        <v>0.17280440262487701</v>
      </c>
      <c r="N49">
        <v>274</v>
      </c>
      <c r="O49">
        <v>10</v>
      </c>
      <c r="P49">
        <v>25.424587992999999</v>
      </c>
      <c r="Q49">
        <v>52.043478249000003</v>
      </c>
      <c r="R49">
        <v>15.277753300000001</v>
      </c>
      <c r="S49">
        <v>7.0199159340000001</v>
      </c>
      <c r="T49">
        <v>0.23426452399999681</v>
      </c>
      <c r="U49" t="s">
        <v>88</v>
      </c>
      <c r="V49">
        <v>2377.2228121633339</v>
      </c>
      <c r="W49">
        <v>28.819685736247671</v>
      </c>
      <c r="X49">
        <v>1.66</v>
      </c>
      <c r="AA49">
        <v>-2.2999999999999998</v>
      </c>
      <c r="AD49">
        <v>761.08</v>
      </c>
      <c r="AF49">
        <v>77.44</v>
      </c>
      <c r="AH49">
        <v>4.18</v>
      </c>
      <c r="AI49">
        <v>12.95</v>
      </c>
      <c r="AK49">
        <v>2377.2228121633339</v>
      </c>
      <c r="AL49">
        <v>28.819685736247671</v>
      </c>
      <c r="AM49" t="s">
        <v>126</v>
      </c>
      <c r="AN49">
        <v>12.88087911611</v>
      </c>
      <c r="AO49">
        <v>1</v>
      </c>
      <c r="AP49">
        <f t="shared" si="0"/>
        <v>4.1209228321400157E-2</v>
      </c>
    </row>
    <row r="50" spans="1:42" x14ac:dyDescent="0.2">
      <c r="A50" t="s">
        <v>89</v>
      </c>
      <c r="B50">
        <v>2017</v>
      </c>
      <c r="C50">
        <v>190.41493076860681</v>
      </c>
      <c r="D50">
        <v>88.174608291959501</v>
      </c>
      <c r="E50">
        <v>9.9421979745371551</v>
      </c>
      <c r="F50">
        <v>3.7127245574369931</v>
      </c>
      <c r="G50">
        <v>6.1254755303372237</v>
      </c>
      <c r="H50">
        <v>3.7335241347895809</v>
      </c>
      <c r="I50">
        <v>0.20799577352588189</v>
      </c>
      <c r="J50">
        <v>0.47586729999999999</v>
      </c>
      <c r="K50">
        <v>0.378</v>
      </c>
      <c r="L50">
        <v>14.9</v>
      </c>
      <c r="M50">
        <v>0.1804208864536202</v>
      </c>
      <c r="N50">
        <v>220</v>
      </c>
      <c r="O50">
        <v>8</v>
      </c>
      <c r="P50">
        <v>32.735651807000004</v>
      </c>
      <c r="Q50">
        <v>44.670208598999999</v>
      </c>
      <c r="R50">
        <v>17.529527622</v>
      </c>
      <c r="S50">
        <v>4.5503197230000003</v>
      </c>
      <c r="T50">
        <v>0.51429224899999326</v>
      </c>
      <c r="U50" t="s">
        <v>89</v>
      </c>
      <c r="V50">
        <v>2412.0617124139121</v>
      </c>
      <c r="W50">
        <v>30.015724564805758</v>
      </c>
      <c r="AK50">
        <v>2412.0617124139121</v>
      </c>
      <c r="AL50">
        <v>30.015724564805758</v>
      </c>
      <c r="AM50" t="s">
        <v>124</v>
      </c>
      <c r="AN50">
        <v>12.9671617843</v>
      </c>
      <c r="AO50">
        <v>1</v>
      </c>
      <c r="AP50">
        <f t="shared" si="0"/>
        <v>3.3261421666348066E-2</v>
      </c>
    </row>
    <row r="51" spans="1:42" x14ac:dyDescent="0.2">
      <c r="A51" t="s">
        <v>90</v>
      </c>
      <c r="B51">
        <v>2017</v>
      </c>
      <c r="C51">
        <v>128.93902492198251</v>
      </c>
      <c r="D51">
        <v>67.319251779919156</v>
      </c>
      <c r="E51">
        <v>5.185591219688428</v>
      </c>
      <c r="F51">
        <v>2.8653116649329449</v>
      </c>
      <c r="G51">
        <v>7.1165621243171531</v>
      </c>
      <c r="H51">
        <v>2.725160550887312</v>
      </c>
      <c r="I51">
        <v>6.2289384020281398E-2</v>
      </c>
      <c r="J51">
        <v>0.26355840000000003</v>
      </c>
      <c r="K51">
        <v>0.35199999999999998</v>
      </c>
      <c r="L51">
        <v>17.399999999999999</v>
      </c>
      <c r="M51">
        <v>0.16152230697392181</v>
      </c>
      <c r="N51">
        <v>87</v>
      </c>
      <c r="O51">
        <v>3</v>
      </c>
      <c r="P51">
        <v>24.159082361999999</v>
      </c>
      <c r="Q51">
        <v>52.610404127999999</v>
      </c>
      <c r="R51">
        <v>17.393325580999999</v>
      </c>
      <c r="S51">
        <v>5.4182178820000004</v>
      </c>
      <c r="T51">
        <v>0.41897004700001622</v>
      </c>
      <c r="U51" t="s">
        <v>90</v>
      </c>
      <c r="V51">
        <v>2349.3196690278728</v>
      </c>
      <c r="W51">
        <v>34.562333351702613</v>
      </c>
      <c r="AK51">
        <v>2349.3196690278728</v>
      </c>
      <c r="AL51">
        <v>34.562333351702613</v>
      </c>
      <c r="AM51" t="s">
        <v>125</v>
      </c>
      <c r="AN51">
        <v>13.16129214899</v>
      </c>
      <c r="AO51">
        <v>3</v>
      </c>
      <c r="AP51">
        <f t="shared" si="0"/>
        <v>5.5676328502415474E-2</v>
      </c>
    </row>
    <row r="52" spans="1:42" x14ac:dyDescent="0.2">
      <c r="A52" t="s">
        <v>91</v>
      </c>
      <c r="B52">
        <v>2017</v>
      </c>
      <c r="C52">
        <v>139.7022939460291</v>
      </c>
      <c r="D52">
        <v>58.052326027950862</v>
      </c>
      <c r="E52">
        <v>8.0187079552531042</v>
      </c>
      <c r="F52">
        <v>2.4129386449494312</v>
      </c>
      <c r="G52">
        <v>5.3528952309602946</v>
      </c>
      <c r="H52">
        <v>2.5854602130995858</v>
      </c>
      <c r="I52">
        <v>0.12761869424805999</v>
      </c>
      <c r="J52">
        <v>0.33930909999999997</v>
      </c>
      <c r="K52">
        <v>0.39300000000000002</v>
      </c>
      <c r="L52">
        <v>13.9</v>
      </c>
      <c r="M52">
        <v>0.18006718029691479</v>
      </c>
      <c r="N52">
        <v>501</v>
      </c>
      <c r="O52">
        <v>12</v>
      </c>
      <c r="P52">
        <v>29.691136856</v>
      </c>
      <c r="Q52">
        <v>44.308508443999997</v>
      </c>
      <c r="R52">
        <v>21.450931883999999</v>
      </c>
      <c r="S52">
        <v>4.236114766</v>
      </c>
      <c r="T52">
        <v>0.31330805000000339</v>
      </c>
      <c r="U52" t="s">
        <v>91</v>
      </c>
      <c r="V52">
        <v>2867.4940694472862</v>
      </c>
      <c r="W52">
        <v>32.603992602682141</v>
      </c>
      <c r="AK52">
        <v>2867.4940694472862</v>
      </c>
      <c r="AL52">
        <v>32.603992602682141</v>
      </c>
      <c r="AM52" t="s">
        <v>122</v>
      </c>
      <c r="AN52">
        <v>13.36165257165</v>
      </c>
      <c r="AO52">
        <v>3</v>
      </c>
      <c r="AP52">
        <f t="shared" si="0"/>
        <v>3.9229949418909546E-2</v>
      </c>
    </row>
    <row r="53" spans="1:42" x14ac:dyDescent="0.2">
      <c r="A53" t="s">
        <v>92</v>
      </c>
      <c r="B53">
        <v>2017</v>
      </c>
      <c r="C53">
        <v>84.686870694987931</v>
      </c>
      <c r="D53">
        <v>48.227672957091222</v>
      </c>
      <c r="E53">
        <v>5.0677219835294602</v>
      </c>
      <c r="F53">
        <v>1.90816151744104</v>
      </c>
      <c r="G53">
        <v>6.1771182145998322</v>
      </c>
      <c r="H53">
        <v>2.0679145747151741</v>
      </c>
      <c r="I53">
        <v>0.1597530572741335</v>
      </c>
      <c r="J53">
        <v>0.34920370000000001</v>
      </c>
      <c r="K53">
        <v>0.36499999999999999</v>
      </c>
      <c r="L53">
        <v>13.3</v>
      </c>
      <c r="M53">
        <v>0.16544146177995689</v>
      </c>
      <c r="N53">
        <v>179</v>
      </c>
      <c r="O53">
        <v>6</v>
      </c>
      <c r="P53">
        <v>29.337756036999998</v>
      </c>
      <c r="Q53">
        <v>54.528418467999998</v>
      </c>
      <c r="R53">
        <v>11.97010682</v>
      </c>
      <c r="S53">
        <v>3.7734769080000001</v>
      </c>
      <c r="T53">
        <v>0.39024176699999202</v>
      </c>
      <c r="U53" t="s">
        <v>92</v>
      </c>
      <c r="V53">
        <v>2323.0520416275972</v>
      </c>
      <c r="W53">
        <v>38.708247261440263</v>
      </c>
      <c r="AK53">
        <v>2323.0520416275972</v>
      </c>
      <c r="AL53">
        <v>38.708247261440263</v>
      </c>
      <c r="AM53" t="s">
        <v>127</v>
      </c>
      <c r="AN53">
        <v>13.562843019740001</v>
      </c>
      <c r="AO53">
        <v>3</v>
      </c>
      <c r="AP53">
        <f t="shared" si="0"/>
        <v>7.4827080276671551E-2</v>
      </c>
    </row>
    <row r="54" spans="1:42" x14ac:dyDescent="0.2">
      <c r="A54" t="s">
        <v>93</v>
      </c>
      <c r="B54">
        <v>2017</v>
      </c>
      <c r="C54">
        <v>137.4326204341946</v>
      </c>
      <c r="D54">
        <v>62.515626565582878</v>
      </c>
      <c r="E54">
        <v>8.0064201188695865</v>
      </c>
      <c r="F54">
        <v>2.6968994084613351</v>
      </c>
      <c r="G54">
        <v>6.7547341665628791</v>
      </c>
      <c r="H54">
        <v>2.5970142451849889</v>
      </c>
      <c r="I54">
        <v>0.1123708086858889</v>
      </c>
      <c r="J54">
        <v>0.45029609999999998</v>
      </c>
      <c r="K54">
        <v>0.377</v>
      </c>
      <c r="L54">
        <v>13.3</v>
      </c>
      <c r="M54">
        <v>0.17331631846933271</v>
      </c>
      <c r="N54">
        <v>320</v>
      </c>
      <c r="O54">
        <v>20</v>
      </c>
      <c r="P54">
        <v>38.016952402000001</v>
      </c>
      <c r="Q54">
        <v>45.612016568999998</v>
      </c>
      <c r="R54">
        <v>13.638464011</v>
      </c>
      <c r="S54">
        <v>2.4002767089999999</v>
      </c>
      <c r="T54">
        <v>0.33229030900000112</v>
      </c>
      <c r="U54" t="s">
        <v>93</v>
      </c>
      <c r="V54">
        <v>2378.5172286805778</v>
      </c>
      <c r="W54">
        <v>31.80857608636941</v>
      </c>
      <c r="AK54">
        <v>2378.5172286805778</v>
      </c>
      <c r="AL54">
        <v>31.80857608636941</v>
      </c>
      <c r="AM54" t="s">
        <v>126</v>
      </c>
      <c r="AN54">
        <v>13.09891892594</v>
      </c>
      <c r="AO54">
        <v>2</v>
      </c>
      <c r="AP54">
        <f t="shared" si="0"/>
        <v>4.9967067160280709E-2</v>
      </c>
    </row>
    <row r="55" spans="1:42" x14ac:dyDescent="0.2">
      <c r="A55" t="s">
        <v>94</v>
      </c>
      <c r="B55">
        <v>2017</v>
      </c>
      <c r="C55">
        <v>98.716690595747977</v>
      </c>
      <c r="D55">
        <v>40.071349874724959</v>
      </c>
      <c r="E55">
        <v>14.031788599583569</v>
      </c>
      <c r="F55">
        <v>2.802192298931816</v>
      </c>
      <c r="G55">
        <v>5.5475834026150128</v>
      </c>
      <c r="H55">
        <v>2.5409068007881732</v>
      </c>
      <c r="I55">
        <v>0.13632286859668291</v>
      </c>
      <c r="J55">
        <v>0.78586599999999995</v>
      </c>
      <c r="K55">
        <v>0.40200000000000002</v>
      </c>
      <c r="L55">
        <v>7.5</v>
      </c>
      <c r="M55">
        <v>0.18858764524907631</v>
      </c>
      <c r="N55">
        <v>222</v>
      </c>
      <c r="O55">
        <v>66</v>
      </c>
      <c r="P55">
        <v>42.658513878999997</v>
      </c>
      <c r="Q55">
        <v>43.390872477000002</v>
      </c>
      <c r="R55">
        <v>13.414518600999999</v>
      </c>
      <c r="S55">
        <v>0.52423336099999995</v>
      </c>
      <c r="T55">
        <v>1.1861682000002821E-2</v>
      </c>
      <c r="U55" t="s">
        <v>94</v>
      </c>
      <c r="V55">
        <v>2486.3841544389129</v>
      </c>
      <c r="W55">
        <v>27.433420550777491</v>
      </c>
      <c r="X55">
        <v>5.82</v>
      </c>
      <c r="AA55">
        <v>2.2200000000000002</v>
      </c>
      <c r="AD55">
        <v>758.33</v>
      </c>
      <c r="AF55">
        <v>79.849999999999994</v>
      </c>
      <c r="AH55">
        <v>3.83</v>
      </c>
      <c r="AI55">
        <v>10.92</v>
      </c>
      <c r="AK55">
        <v>2486.3841544389129</v>
      </c>
      <c r="AL55">
        <v>27.433420550777491</v>
      </c>
      <c r="AM55" t="s">
        <v>125</v>
      </c>
      <c r="AN55">
        <v>12.997643496129999</v>
      </c>
      <c r="AO55">
        <v>2</v>
      </c>
      <c r="AP55">
        <f t="shared" si="0"/>
        <v>5.7577966166711417E-2</v>
      </c>
    </row>
    <row r="56" spans="1:42" x14ac:dyDescent="0.2">
      <c r="A56" t="s">
        <v>95</v>
      </c>
      <c r="B56">
        <v>2017</v>
      </c>
      <c r="C56">
        <v>116.296798238184</v>
      </c>
      <c r="D56">
        <v>53.967716173374313</v>
      </c>
      <c r="E56">
        <v>5.001492380791043</v>
      </c>
      <c r="F56">
        <v>2.133701185031017</v>
      </c>
      <c r="G56">
        <v>6.4454716326645851</v>
      </c>
      <c r="H56">
        <v>2.4442777280317518</v>
      </c>
      <c r="I56">
        <v>0.12907077111718809</v>
      </c>
      <c r="J56">
        <v>0.29023310000000002</v>
      </c>
      <c r="K56">
        <v>0.35699999999999998</v>
      </c>
      <c r="L56">
        <v>16.8</v>
      </c>
      <c r="M56">
        <v>0.17745964207349099</v>
      </c>
      <c r="N56">
        <v>268</v>
      </c>
      <c r="O56">
        <v>7</v>
      </c>
      <c r="P56">
        <v>32.586134231000003</v>
      </c>
      <c r="Q56">
        <v>45.034765423000003</v>
      </c>
      <c r="R56">
        <v>17.690923123000001</v>
      </c>
      <c r="S56">
        <v>4.4590130769999998</v>
      </c>
      <c r="T56">
        <v>0.22916414600000221</v>
      </c>
      <c r="U56" t="s">
        <v>95</v>
      </c>
      <c r="V56">
        <v>2893.985718201493</v>
      </c>
      <c r="W56">
        <v>42.233291852830597</v>
      </c>
      <c r="AK56">
        <v>2893.985718201493</v>
      </c>
      <c r="AL56">
        <v>42.233291852830597</v>
      </c>
      <c r="AM56" t="s">
        <v>126</v>
      </c>
      <c r="AN56">
        <v>12.91098745859</v>
      </c>
      <c r="AO56">
        <v>1</v>
      </c>
      <c r="AP56">
        <f t="shared" si="0"/>
        <v>5.6532445461797233E-2</v>
      </c>
    </row>
    <row r="57" spans="1:42" x14ac:dyDescent="0.2">
      <c r="A57" t="s">
        <v>96</v>
      </c>
      <c r="B57">
        <v>2017</v>
      </c>
      <c r="C57">
        <v>128.7759584975619</v>
      </c>
      <c r="D57">
        <v>82.630980386047455</v>
      </c>
      <c r="E57">
        <v>5.4214896633379563</v>
      </c>
      <c r="F57">
        <v>3.3650625496580409</v>
      </c>
      <c r="G57">
        <v>5.1722257707706927</v>
      </c>
      <c r="H57">
        <v>3.209272616803502</v>
      </c>
      <c r="I57">
        <v>5.19299776181796E-2</v>
      </c>
      <c r="J57">
        <v>0.97401730000000009</v>
      </c>
      <c r="K57">
        <v>0.39600000000000002</v>
      </c>
      <c r="L57">
        <v>19.600000000000001</v>
      </c>
      <c r="M57">
        <v>0.20949482174958309</v>
      </c>
      <c r="N57">
        <v>194</v>
      </c>
      <c r="O57">
        <v>7</v>
      </c>
      <c r="P57">
        <v>32.626329634000001</v>
      </c>
      <c r="Q57">
        <v>39.496609392000003</v>
      </c>
      <c r="R57">
        <v>23.732558288</v>
      </c>
      <c r="S57">
        <v>3.8554662190000002</v>
      </c>
      <c r="T57">
        <v>0.28903646699998831</v>
      </c>
      <c r="U57" t="s">
        <v>96</v>
      </c>
      <c r="V57">
        <v>2580.817126763021</v>
      </c>
      <c r="W57">
        <v>30.61639977444036</v>
      </c>
      <c r="X57">
        <v>-14.39</v>
      </c>
      <c r="AA57">
        <v>-19.04</v>
      </c>
      <c r="AD57">
        <v>761.73</v>
      </c>
      <c r="AF57">
        <v>70.11</v>
      </c>
      <c r="AH57">
        <v>1.93</v>
      </c>
      <c r="AI57">
        <v>11.34</v>
      </c>
      <c r="AK57">
        <v>2580.817126763021</v>
      </c>
      <c r="AL57">
        <v>30.61639977444036</v>
      </c>
      <c r="AM57" t="s">
        <v>124</v>
      </c>
      <c r="AN57">
        <v>13.00212467325</v>
      </c>
      <c r="AO57">
        <v>2</v>
      </c>
      <c r="AP57">
        <f t="shared" si="0"/>
        <v>4.0567787724816513E-2</v>
      </c>
    </row>
    <row r="58" spans="1:42" x14ac:dyDescent="0.2">
      <c r="A58" t="s">
        <v>97</v>
      </c>
      <c r="B58">
        <v>2017</v>
      </c>
      <c r="C58">
        <v>234.92645851800779</v>
      </c>
      <c r="D58">
        <v>100.66811123149149</v>
      </c>
      <c r="E58">
        <v>12.578384057257299</v>
      </c>
      <c r="F58">
        <v>4.8220558783939067</v>
      </c>
      <c r="G58">
        <v>10.157096424702059</v>
      </c>
      <c r="H58">
        <v>5.6428313470567</v>
      </c>
      <c r="I58">
        <v>0.63610098821366423</v>
      </c>
      <c r="J58">
        <v>1.6430905</v>
      </c>
      <c r="K58">
        <v>0.41499999999999998</v>
      </c>
      <c r="L58">
        <v>9</v>
      </c>
      <c r="M58">
        <v>0.1724791317813841</v>
      </c>
      <c r="N58">
        <v>86</v>
      </c>
      <c r="O58">
        <v>2</v>
      </c>
      <c r="P58">
        <v>29.921132146000001</v>
      </c>
      <c r="Q58">
        <v>43.621893645</v>
      </c>
      <c r="R58">
        <v>20.984097544000001</v>
      </c>
      <c r="S58">
        <v>4.4961133279999999</v>
      </c>
      <c r="T58">
        <v>0.97676333699999418</v>
      </c>
      <c r="U58" t="s">
        <v>97</v>
      </c>
      <c r="V58">
        <v>2427.096240993314</v>
      </c>
      <c r="W58">
        <v>30.011354949405931</v>
      </c>
      <c r="AK58">
        <v>2427.096240993314</v>
      </c>
      <c r="AL58">
        <v>30.011354949405931</v>
      </c>
      <c r="AM58" t="s">
        <v>124</v>
      </c>
      <c r="AN58">
        <v>13.565848906139999</v>
      </c>
      <c r="AO58">
        <v>3</v>
      </c>
      <c r="AP58">
        <f t="shared" si="0"/>
        <v>4.5942877107170939E-2</v>
      </c>
    </row>
    <row r="59" spans="1:42" x14ac:dyDescent="0.2">
      <c r="A59" t="s">
        <v>98</v>
      </c>
      <c r="B59">
        <v>2017</v>
      </c>
      <c r="C59">
        <v>134.66483698096309</v>
      </c>
      <c r="D59">
        <v>69.862826698104868</v>
      </c>
      <c r="E59">
        <v>10.4403880405817</v>
      </c>
      <c r="F59">
        <v>3.9220749763070182</v>
      </c>
      <c r="G59">
        <v>4.2870265936547849</v>
      </c>
      <c r="H59">
        <v>2.3005810815087102</v>
      </c>
      <c r="I59">
        <v>4.8506227622171598E-2</v>
      </c>
      <c r="J59">
        <v>0.52220739999999999</v>
      </c>
      <c r="K59">
        <v>0.40500000000000003</v>
      </c>
      <c r="L59">
        <v>9.8000000000000007</v>
      </c>
      <c r="M59">
        <v>0.1722649873052268</v>
      </c>
      <c r="N59">
        <v>612</v>
      </c>
      <c r="O59">
        <v>23</v>
      </c>
      <c r="P59">
        <v>29.446664527999999</v>
      </c>
      <c r="Q59">
        <v>47.250180297</v>
      </c>
      <c r="R59">
        <v>18.050125262000002</v>
      </c>
      <c r="S59">
        <v>4.9393316020000002</v>
      </c>
      <c r="T59">
        <v>0.31369831100001022</v>
      </c>
      <c r="U59" t="s">
        <v>98</v>
      </c>
      <c r="V59">
        <v>2526.8322201914029</v>
      </c>
      <c r="W59">
        <v>30.959862165849461</v>
      </c>
      <c r="AK59">
        <v>2526.8322201914029</v>
      </c>
      <c r="AL59">
        <v>30.959862165849461</v>
      </c>
      <c r="AM59" t="s">
        <v>128</v>
      </c>
      <c r="AN59">
        <v>13.18828724375</v>
      </c>
      <c r="AO59">
        <v>3</v>
      </c>
      <c r="AP59">
        <f t="shared" si="0"/>
        <v>3.2194988079106722E-2</v>
      </c>
    </row>
    <row r="60" spans="1:42" x14ac:dyDescent="0.2">
      <c r="A60" t="s">
        <v>99</v>
      </c>
      <c r="B60">
        <v>2017</v>
      </c>
      <c r="C60">
        <v>113.32865309397251</v>
      </c>
      <c r="D60">
        <v>47.299960583366179</v>
      </c>
      <c r="E60">
        <v>6.1340678665805246</v>
      </c>
      <c r="F60">
        <v>3.0087253033798009</v>
      </c>
      <c r="G60">
        <v>8.4430896110347913</v>
      </c>
      <c r="H60">
        <v>2.7288438798095882</v>
      </c>
      <c r="I60">
        <v>0.233234519641845</v>
      </c>
      <c r="J60">
        <v>0.21592729999999999</v>
      </c>
      <c r="K60">
        <v>0.34599999999999997</v>
      </c>
      <c r="L60">
        <v>11.8</v>
      </c>
      <c r="M60">
        <v>0.18596765154207981</v>
      </c>
      <c r="N60">
        <v>38</v>
      </c>
      <c r="O60">
        <v>1</v>
      </c>
      <c r="P60">
        <v>42.997930834999998</v>
      </c>
      <c r="Q60">
        <v>43.993093188000003</v>
      </c>
      <c r="R60">
        <v>11.312466426</v>
      </c>
      <c r="S60">
        <v>1.6965095509999999</v>
      </c>
      <c r="T60">
        <v>0</v>
      </c>
      <c r="U60" t="s">
        <v>99</v>
      </c>
      <c r="V60">
        <v>4057.841683242767</v>
      </c>
      <c r="W60">
        <v>51.669123776637953</v>
      </c>
      <c r="AK60">
        <v>4057.841683242767</v>
      </c>
      <c r="AL60">
        <v>51.669123776637953</v>
      </c>
      <c r="AM60" t="s">
        <v>122</v>
      </c>
      <c r="AN60">
        <v>13.13325663961</v>
      </c>
      <c r="AO60">
        <v>3</v>
      </c>
      <c r="AP60">
        <f t="shared" si="0"/>
        <v>7.6558962749536955E-2</v>
      </c>
    </row>
    <row r="61" spans="1:42" x14ac:dyDescent="0.2">
      <c r="A61" t="s">
        <v>100</v>
      </c>
      <c r="B61">
        <v>2017</v>
      </c>
      <c r="C61">
        <v>136.40354972351059</v>
      </c>
      <c r="D61">
        <v>69.722965040951493</v>
      </c>
      <c r="E61">
        <v>7.1758212591048478</v>
      </c>
      <c r="F61">
        <v>3.4410370950093419</v>
      </c>
      <c r="G61">
        <v>8.6865204715479738</v>
      </c>
      <c r="H61">
        <v>2.098193350615452</v>
      </c>
      <c r="I61">
        <v>1.080569575566958</v>
      </c>
      <c r="J61">
        <v>0.33446100000000001</v>
      </c>
      <c r="K61">
        <v>0.38</v>
      </c>
      <c r="L61">
        <v>16.7</v>
      </c>
      <c r="M61">
        <v>0.1692290518235797</v>
      </c>
      <c r="N61">
        <v>165</v>
      </c>
      <c r="O61">
        <v>7</v>
      </c>
      <c r="P61">
        <v>33.019890676999999</v>
      </c>
      <c r="Q61">
        <v>48.148349467000003</v>
      </c>
      <c r="R61">
        <v>14.653104949999999</v>
      </c>
      <c r="S61">
        <v>3.9406094149999999</v>
      </c>
      <c r="T61">
        <v>0.23804549099999411</v>
      </c>
      <c r="U61" t="s">
        <v>100</v>
      </c>
      <c r="V61">
        <v>2701.7617874499701</v>
      </c>
      <c r="W61">
        <v>42.087338253107632</v>
      </c>
      <c r="AK61">
        <v>2701.7617874499701</v>
      </c>
      <c r="AL61">
        <v>42.087338253107632</v>
      </c>
      <c r="AM61" t="s">
        <v>127</v>
      </c>
      <c r="AN61">
        <v>13.181051653660001</v>
      </c>
      <c r="AO61">
        <v>3</v>
      </c>
      <c r="AP61">
        <f t="shared" si="0"/>
        <v>7.1604368558683268E-2</v>
      </c>
    </row>
    <row r="62" spans="1:42" x14ac:dyDescent="0.2">
      <c r="A62" t="s">
        <v>101</v>
      </c>
      <c r="B62">
        <v>2017</v>
      </c>
      <c r="C62">
        <v>110.6382896916066</v>
      </c>
      <c r="D62">
        <v>62.422680561015909</v>
      </c>
      <c r="E62">
        <v>4.5081979031592949</v>
      </c>
      <c r="F62">
        <v>1.8071241061704639</v>
      </c>
      <c r="G62">
        <v>3.9795179784817658</v>
      </c>
      <c r="H62">
        <v>1.9224724533728339</v>
      </c>
      <c r="I62">
        <v>9.6123622668641606E-2</v>
      </c>
      <c r="J62">
        <v>0.30932680000000001</v>
      </c>
      <c r="K62">
        <v>0.379</v>
      </c>
      <c r="L62">
        <v>10.4</v>
      </c>
      <c r="M62">
        <v>0.1658766769647467</v>
      </c>
      <c r="N62">
        <v>111</v>
      </c>
      <c r="O62">
        <v>4</v>
      </c>
      <c r="P62">
        <v>28.914678282000001</v>
      </c>
      <c r="Q62">
        <v>50.276176139</v>
      </c>
      <c r="R62">
        <v>19.572867123999998</v>
      </c>
      <c r="S62">
        <v>1.1537095479999999</v>
      </c>
      <c r="T62">
        <v>8.2568907000009517E-2</v>
      </c>
      <c r="U62" t="s">
        <v>101</v>
      </c>
      <c r="V62">
        <v>2380.2610899543952</v>
      </c>
      <c r="W62">
        <v>30.87235889726054</v>
      </c>
      <c r="AK62">
        <v>2380.2610899543952</v>
      </c>
      <c r="AL62">
        <v>30.87235889726054</v>
      </c>
      <c r="AM62" t="s">
        <v>127</v>
      </c>
      <c r="AN62">
        <v>13.031081909399999</v>
      </c>
      <c r="AO62">
        <v>2</v>
      </c>
      <c r="AP62">
        <f t="shared" si="0"/>
        <v>3.6837532580364894E-2</v>
      </c>
    </row>
    <row r="63" spans="1:42" x14ac:dyDescent="0.2">
      <c r="A63" t="s">
        <v>102</v>
      </c>
      <c r="B63">
        <v>2017</v>
      </c>
      <c r="C63">
        <v>118.63577481312031</v>
      </c>
      <c r="D63">
        <v>54.81238930901025</v>
      </c>
      <c r="E63">
        <v>7.2350500726722302</v>
      </c>
      <c r="F63">
        <v>2.496619911238728</v>
      </c>
      <c r="G63">
        <v>6.625051187142768</v>
      </c>
      <c r="H63">
        <v>2.846661465804158</v>
      </c>
      <c r="I63">
        <v>9.7805728481517099E-2</v>
      </c>
      <c r="J63">
        <v>0.57235049999999998</v>
      </c>
      <c r="K63">
        <v>0.39600000000000002</v>
      </c>
      <c r="L63">
        <v>7.3</v>
      </c>
      <c r="M63">
        <v>0.18901823663923881</v>
      </c>
      <c r="N63">
        <v>383</v>
      </c>
      <c r="O63">
        <v>24</v>
      </c>
      <c r="P63">
        <v>34.789010433999998</v>
      </c>
      <c r="Q63">
        <v>41.159649948999999</v>
      </c>
      <c r="R63">
        <v>22.578539368000001</v>
      </c>
      <c r="S63">
        <v>1.3878850949999999</v>
      </c>
      <c r="T63">
        <v>8.4915153999986615E-2</v>
      </c>
      <c r="U63" t="s">
        <v>102</v>
      </c>
      <c r="V63">
        <v>2595.2484452415538</v>
      </c>
      <c r="W63">
        <v>25.836054034224421</v>
      </c>
      <c r="AK63">
        <v>2595.2484452415538</v>
      </c>
      <c r="AL63">
        <v>25.836054034224421</v>
      </c>
      <c r="AM63" t="s">
        <v>126</v>
      </c>
      <c r="AN63">
        <v>13.016096772859999</v>
      </c>
      <c r="AO63">
        <v>2</v>
      </c>
      <c r="AP63">
        <f t="shared" si="0"/>
        <v>5.6668040700323247E-2</v>
      </c>
    </row>
    <row r="64" spans="1:42" x14ac:dyDescent="0.2">
      <c r="A64" t="s">
        <v>103</v>
      </c>
      <c r="B64">
        <v>2017</v>
      </c>
      <c r="C64">
        <v>154.61918153854219</v>
      </c>
      <c r="D64">
        <v>62.793077416006639</v>
      </c>
      <c r="E64">
        <v>4.642199754935036</v>
      </c>
      <c r="F64">
        <v>2.4367693065771951</v>
      </c>
      <c r="G64">
        <v>6.4389315537720186</v>
      </c>
      <c r="H64">
        <v>3.254166605618912</v>
      </c>
      <c r="I64">
        <v>0.1310920196576339</v>
      </c>
      <c r="J64">
        <v>0.32664100000000001</v>
      </c>
      <c r="K64">
        <v>0.33700000000000002</v>
      </c>
      <c r="L64">
        <v>12.4</v>
      </c>
      <c r="M64">
        <v>0.1598257889784801</v>
      </c>
      <c r="N64">
        <v>204</v>
      </c>
      <c r="O64">
        <v>7</v>
      </c>
      <c r="P64">
        <v>26.898330723000001</v>
      </c>
      <c r="Q64">
        <v>53.430877299000002</v>
      </c>
      <c r="R64">
        <v>15.165876908</v>
      </c>
      <c r="S64">
        <v>4.0375037880000004</v>
      </c>
      <c r="T64">
        <v>0.46741128200000048</v>
      </c>
      <c r="U64" t="s">
        <v>103</v>
      </c>
      <c r="V64">
        <v>2940.1579930290532</v>
      </c>
      <c r="W64">
        <v>39.428437284672199</v>
      </c>
      <c r="AK64">
        <v>2940.1579930290532</v>
      </c>
      <c r="AL64">
        <v>39.428437284672199</v>
      </c>
      <c r="AM64" t="s">
        <v>127</v>
      </c>
      <c r="AN64">
        <v>13.10937774297</v>
      </c>
      <c r="AO64">
        <v>2</v>
      </c>
      <c r="AP64">
        <f t="shared" si="0"/>
        <v>4.2491646301930079E-2</v>
      </c>
    </row>
    <row r="65" spans="1:42" x14ac:dyDescent="0.2">
      <c r="A65" t="s">
        <v>104</v>
      </c>
      <c r="B65">
        <v>2017</v>
      </c>
      <c r="C65">
        <v>174.09543688843451</v>
      </c>
      <c r="D65">
        <v>90.602294393038775</v>
      </c>
      <c r="E65">
        <v>8.0174920358034321</v>
      </c>
      <c r="F65">
        <v>2.9660086144012698</v>
      </c>
      <c r="G65">
        <v>5.236858959802241</v>
      </c>
      <c r="H65">
        <v>2.5303760991610829</v>
      </c>
      <c r="I65">
        <v>0.43563251524018642</v>
      </c>
      <c r="J65">
        <v>0.51556029999999997</v>
      </c>
      <c r="K65">
        <v>0.36299999999999999</v>
      </c>
      <c r="L65">
        <v>14.8</v>
      </c>
      <c r="M65">
        <v>0.2002515134024298</v>
      </c>
      <c r="N65">
        <v>152</v>
      </c>
      <c r="O65">
        <v>7</v>
      </c>
      <c r="P65">
        <v>33.343542239000001</v>
      </c>
      <c r="Q65">
        <v>39.960577753999999</v>
      </c>
      <c r="R65">
        <v>22.266506762999999</v>
      </c>
      <c r="S65">
        <v>3.8639931060000001</v>
      </c>
      <c r="T65">
        <v>0.56538013800000897</v>
      </c>
      <c r="U65" t="s">
        <v>104</v>
      </c>
      <c r="V65">
        <v>2481.6305321239579</v>
      </c>
      <c r="W65">
        <v>28.376574058099131</v>
      </c>
      <c r="AK65">
        <v>2481.6305321239579</v>
      </c>
      <c r="AL65">
        <v>28.376574058099131</v>
      </c>
      <c r="AM65" t="s">
        <v>123</v>
      </c>
      <c r="AN65">
        <v>13.294427156759999</v>
      </c>
      <c r="AO65">
        <v>3</v>
      </c>
      <c r="AP65">
        <f t="shared" si="0"/>
        <v>3.2582654528030663E-2</v>
      </c>
    </row>
    <row r="66" spans="1:42" x14ac:dyDescent="0.2">
      <c r="A66" t="s">
        <v>105</v>
      </c>
      <c r="B66">
        <v>2017</v>
      </c>
      <c r="C66">
        <v>83.699197754860734</v>
      </c>
      <c r="D66">
        <v>43.316835810184891</v>
      </c>
      <c r="E66">
        <v>4.7351737375259848</v>
      </c>
      <c r="F66">
        <v>1.8140383895874199</v>
      </c>
      <c r="G66">
        <v>5.8155936607361394</v>
      </c>
      <c r="H66">
        <v>1.914077271366138</v>
      </c>
      <c r="I66">
        <v>2.0007776355743599E-2</v>
      </c>
      <c r="J66">
        <v>0.38756489999999999</v>
      </c>
      <c r="K66">
        <v>0.35899999999999999</v>
      </c>
      <c r="L66">
        <v>10.199999999999999</v>
      </c>
      <c r="M66">
        <v>0.15926042021697059</v>
      </c>
      <c r="N66">
        <v>150</v>
      </c>
      <c r="O66">
        <v>6</v>
      </c>
      <c r="P66">
        <v>30.546301822</v>
      </c>
      <c r="Q66">
        <v>47.416266084999997</v>
      </c>
      <c r="R66">
        <v>19.095484320000001</v>
      </c>
      <c r="S66">
        <v>2.9027338500000002</v>
      </c>
      <c r="T66">
        <v>3.9213923000005479E-2</v>
      </c>
      <c r="U66" t="s">
        <v>105</v>
      </c>
      <c r="V66">
        <v>2842.0825146751522</v>
      </c>
      <c r="W66">
        <v>37.47778916277403</v>
      </c>
      <c r="AK66">
        <v>2842.0825146751522</v>
      </c>
      <c r="AL66">
        <v>37.47778916277403</v>
      </c>
      <c r="AM66" t="s">
        <v>127</v>
      </c>
      <c r="AN66">
        <v>12.95612665298</v>
      </c>
      <c r="AO66">
        <v>1</v>
      </c>
      <c r="AP66">
        <f t="shared" si="0"/>
        <v>6.9721115537848599E-2</v>
      </c>
    </row>
    <row r="67" spans="1:42" x14ac:dyDescent="0.2">
      <c r="A67" t="s">
        <v>106</v>
      </c>
      <c r="B67">
        <v>2017</v>
      </c>
      <c r="C67">
        <v>178.98332975844829</v>
      </c>
      <c r="D67">
        <v>86.318249573889489</v>
      </c>
      <c r="E67">
        <v>8.0248839064539421</v>
      </c>
      <c r="F67">
        <v>2.889228860080804</v>
      </c>
      <c r="G67">
        <v>8.2143415366231753</v>
      </c>
      <c r="H67">
        <v>4.0530400168346636</v>
      </c>
      <c r="I67">
        <v>0.25035472558077221</v>
      </c>
      <c r="J67">
        <v>0.713731</v>
      </c>
      <c r="K67">
        <v>0.38200000000000001</v>
      </c>
      <c r="L67">
        <v>15.7</v>
      </c>
      <c r="M67">
        <v>0.18716899715197219</v>
      </c>
      <c r="N67">
        <v>149</v>
      </c>
      <c r="O67">
        <v>5</v>
      </c>
      <c r="P67">
        <v>36.228500846000003</v>
      </c>
      <c r="Q67">
        <v>45.868740936999998</v>
      </c>
      <c r="R67">
        <v>14.666750041</v>
      </c>
      <c r="S67">
        <v>3.0886575299999999</v>
      </c>
      <c r="T67">
        <v>0.14735064599999251</v>
      </c>
      <c r="U67" t="s">
        <v>106</v>
      </c>
      <c r="V67">
        <v>3235.7752475061579</v>
      </c>
      <c r="W67">
        <v>37.201075774606998</v>
      </c>
      <c r="X67">
        <v>1.1399999999999999</v>
      </c>
      <c r="AA67">
        <v>-4.0599999999999996</v>
      </c>
      <c r="AD67">
        <v>761.97</v>
      </c>
      <c r="AF67">
        <v>71.989999999999995</v>
      </c>
      <c r="AH67">
        <v>4.33</v>
      </c>
      <c r="AI67">
        <v>12</v>
      </c>
      <c r="AK67">
        <v>3235.7752475061579</v>
      </c>
      <c r="AL67">
        <v>37.201075774606998</v>
      </c>
      <c r="AM67" t="s">
        <v>128</v>
      </c>
      <c r="AN67">
        <v>12.918317604009999</v>
      </c>
      <c r="AO67">
        <v>1</v>
      </c>
      <c r="AP67">
        <f t="shared" ref="AP67:AP130" si="1">(G67+I67)/C67</f>
        <v>4.7293210343263267E-2</v>
      </c>
    </row>
    <row r="68" spans="1:42" x14ac:dyDescent="0.2">
      <c r="A68" t="s">
        <v>107</v>
      </c>
      <c r="B68">
        <v>2017</v>
      </c>
      <c r="C68">
        <v>159.36567543014161</v>
      </c>
      <c r="D68">
        <v>81.149716579225313</v>
      </c>
      <c r="E68">
        <v>8.5771209090561484</v>
      </c>
      <c r="F68">
        <v>2.7161981664343831</v>
      </c>
      <c r="G68">
        <v>6.0718895905001631</v>
      </c>
      <c r="H68">
        <v>3.17109543217218</v>
      </c>
      <c r="I68">
        <v>5.2741711969599599E-2</v>
      </c>
      <c r="J68">
        <v>0.39636779999999999</v>
      </c>
      <c r="K68">
        <v>0.36899999999999999</v>
      </c>
      <c r="L68">
        <v>12</v>
      </c>
      <c r="M68">
        <v>0.16959411171445549</v>
      </c>
      <c r="N68">
        <v>208</v>
      </c>
      <c r="O68">
        <v>7</v>
      </c>
      <c r="P68">
        <v>24.877663650999999</v>
      </c>
      <c r="Q68">
        <v>52.288539194000002</v>
      </c>
      <c r="R68">
        <v>19.317967923000001</v>
      </c>
      <c r="S68">
        <v>3.227147386</v>
      </c>
      <c r="T68">
        <v>0.28868184600000291</v>
      </c>
      <c r="U68" t="s">
        <v>119</v>
      </c>
      <c r="V68">
        <v>2481.3860962868471</v>
      </c>
      <c r="W68">
        <v>26.861102787856819</v>
      </c>
      <c r="AM68" t="s">
        <v>126</v>
      </c>
      <c r="AN68">
        <v>13.096829896479999</v>
      </c>
      <c r="AO68">
        <v>2</v>
      </c>
      <c r="AP68">
        <f t="shared" si="1"/>
        <v>3.8431307657303612E-2</v>
      </c>
    </row>
    <row r="69" spans="1:42" x14ac:dyDescent="0.2">
      <c r="A69" t="s">
        <v>108</v>
      </c>
      <c r="B69">
        <v>2017</v>
      </c>
      <c r="C69">
        <v>108.4375526284493</v>
      </c>
      <c r="D69">
        <v>53.572269486394227</v>
      </c>
      <c r="E69">
        <v>4.6532528472240511</v>
      </c>
      <c r="F69">
        <v>2.1789674567618631</v>
      </c>
      <c r="G69">
        <v>5.8983771082308296</v>
      </c>
      <c r="H69">
        <v>2.6658429690786161</v>
      </c>
      <c r="I69">
        <v>3.1926263102737898E-2</v>
      </c>
      <c r="J69">
        <v>0.30170999999999998</v>
      </c>
      <c r="K69">
        <v>0.36399999999999999</v>
      </c>
      <c r="L69">
        <v>14.9</v>
      </c>
      <c r="M69">
        <v>0.17202018564501451</v>
      </c>
      <c r="N69">
        <v>139</v>
      </c>
      <c r="O69">
        <v>5</v>
      </c>
      <c r="P69">
        <v>27.994757838000002</v>
      </c>
      <c r="Q69">
        <v>44.258602688000003</v>
      </c>
      <c r="R69">
        <v>23.821475963000001</v>
      </c>
      <c r="S69">
        <v>3.76233365</v>
      </c>
      <c r="T69">
        <v>0.16282986099999161</v>
      </c>
      <c r="U69" t="s">
        <v>108</v>
      </c>
      <c r="V69">
        <v>2521.2900052764981</v>
      </c>
      <c r="W69">
        <v>36.910151581400349</v>
      </c>
      <c r="AK69">
        <v>2521.2900052764981</v>
      </c>
      <c r="AL69">
        <v>36.910151581400349</v>
      </c>
      <c r="AM69" t="s">
        <v>126</v>
      </c>
      <c r="AN69">
        <v>12.763438981529999</v>
      </c>
      <c r="AO69">
        <v>1</v>
      </c>
      <c r="AP69">
        <f t="shared" si="1"/>
        <v>5.4688650080965719E-2</v>
      </c>
    </row>
    <row r="70" spans="1:42" x14ac:dyDescent="0.2">
      <c r="A70" t="s">
        <v>109</v>
      </c>
      <c r="B70">
        <v>2017</v>
      </c>
      <c r="C70">
        <v>180.17781524554979</v>
      </c>
      <c r="D70">
        <v>89.792648883142064</v>
      </c>
      <c r="E70">
        <v>7.5377223628097028</v>
      </c>
      <c r="F70">
        <v>4.3501283287856989</v>
      </c>
      <c r="G70">
        <v>6.1426812090956684</v>
      </c>
      <c r="H70">
        <v>3.382599786693707</v>
      </c>
      <c r="I70">
        <v>0.34501017780024512</v>
      </c>
      <c r="J70">
        <v>0.52622089999999999</v>
      </c>
      <c r="K70">
        <v>0.38200000000000001</v>
      </c>
      <c r="L70">
        <v>12.5</v>
      </c>
      <c r="M70">
        <v>0.19609911495369359</v>
      </c>
      <c r="N70">
        <v>143</v>
      </c>
      <c r="O70">
        <v>10</v>
      </c>
      <c r="P70">
        <v>34.150047346000001</v>
      </c>
      <c r="Q70">
        <v>41.964040128999997</v>
      </c>
      <c r="R70">
        <v>19.010321728000001</v>
      </c>
      <c r="S70">
        <v>4.6567711169999999</v>
      </c>
      <c r="T70">
        <v>0.21881967999999569</v>
      </c>
      <c r="U70" t="s">
        <v>109</v>
      </c>
      <c r="V70">
        <v>2146.460840019744</v>
      </c>
      <c r="W70">
        <v>27.08696704177834</v>
      </c>
      <c r="X70">
        <v>2.73</v>
      </c>
      <c r="AA70">
        <v>-2.97</v>
      </c>
      <c r="AD70">
        <v>758.06</v>
      </c>
      <c r="AF70">
        <v>69.459999999999994</v>
      </c>
      <c r="AH70">
        <v>3.78</v>
      </c>
      <c r="AI70">
        <v>13.95</v>
      </c>
      <c r="AK70">
        <v>2146.460840019744</v>
      </c>
      <c r="AL70">
        <v>27.08696704177834</v>
      </c>
      <c r="AM70" t="s">
        <v>124</v>
      </c>
      <c r="AN70">
        <v>13.24193544828</v>
      </c>
      <c r="AO70">
        <v>3</v>
      </c>
      <c r="AP70">
        <f t="shared" si="1"/>
        <v>3.6007159805186685E-2</v>
      </c>
    </row>
    <row r="71" spans="1:42" x14ac:dyDescent="0.2">
      <c r="A71" t="s">
        <v>110</v>
      </c>
      <c r="B71">
        <v>2017</v>
      </c>
      <c r="C71">
        <v>214.40740382540889</v>
      </c>
      <c r="D71">
        <v>126.8812724580968</v>
      </c>
      <c r="E71">
        <v>7.1233549327838004</v>
      </c>
      <c r="F71">
        <v>4.7985001897081467</v>
      </c>
      <c r="G71">
        <v>5.226273462434067</v>
      </c>
      <c r="H71">
        <v>3.0688082608598619</v>
      </c>
      <c r="I71">
        <v>0.1301918656122365</v>
      </c>
      <c r="J71">
        <v>0.40371970000000001</v>
      </c>
      <c r="K71">
        <v>0.35199999999999998</v>
      </c>
      <c r="L71">
        <v>18.8</v>
      </c>
      <c r="M71">
        <v>0.1699524397536272</v>
      </c>
      <c r="N71">
        <v>56</v>
      </c>
      <c r="O71">
        <v>1</v>
      </c>
      <c r="P71">
        <v>26.442024075999999</v>
      </c>
      <c r="Q71">
        <v>41.656323944999997</v>
      </c>
      <c r="R71">
        <v>26.161974731000001</v>
      </c>
      <c r="S71">
        <v>5.488178939</v>
      </c>
      <c r="T71">
        <v>0.25149830900001291</v>
      </c>
      <c r="U71" t="s">
        <v>110</v>
      </c>
      <c r="V71">
        <v>2685.774130984747</v>
      </c>
      <c r="W71">
        <v>31.310943654572188</v>
      </c>
      <c r="X71">
        <v>3.42</v>
      </c>
      <c r="Y71">
        <v>-2.67</v>
      </c>
      <c r="Z71">
        <v>9.86</v>
      </c>
      <c r="AA71">
        <v>-1.84</v>
      </c>
      <c r="AB71">
        <v>10.44</v>
      </c>
      <c r="AC71">
        <v>742.14</v>
      </c>
      <c r="AD71">
        <v>765.9</v>
      </c>
      <c r="AE71">
        <v>0.01</v>
      </c>
      <c r="AF71">
        <v>73.56</v>
      </c>
      <c r="AG71">
        <v>12</v>
      </c>
      <c r="AH71">
        <v>1.94</v>
      </c>
      <c r="AJ71">
        <v>13.24</v>
      </c>
      <c r="AK71">
        <v>2685.774130984747</v>
      </c>
      <c r="AL71">
        <v>31.310943654572188</v>
      </c>
      <c r="AM71" t="s">
        <v>123</v>
      </c>
      <c r="AN71">
        <v>13.16383779047</v>
      </c>
      <c r="AO71">
        <v>3</v>
      </c>
      <c r="AP71">
        <f t="shared" si="1"/>
        <v>2.498265093684942E-2</v>
      </c>
    </row>
    <row r="72" spans="1:42" x14ac:dyDescent="0.2">
      <c r="A72" t="s">
        <v>111</v>
      </c>
      <c r="B72">
        <v>2017</v>
      </c>
      <c r="C72">
        <v>137.58764772993749</v>
      </c>
      <c r="D72">
        <v>68.884949558890895</v>
      </c>
      <c r="E72">
        <v>8.8270422179264898</v>
      </c>
      <c r="F72">
        <v>2.8734968816787538</v>
      </c>
      <c r="G72">
        <v>6.3119730656748949</v>
      </c>
      <c r="H72">
        <v>2.5089941059901171</v>
      </c>
      <c r="I72">
        <v>0.1032757864451137</v>
      </c>
      <c r="J72">
        <v>2.1462918000000002</v>
      </c>
      <c r="K72">
        <v>0.39200000000000002</v>
      </c>
      <c r="L72">
        <v>9.5</v>
      </c>
      <c r="M72">
        <v>0.18671094053528051</v>
      </c>
      <c r="N72">
        <v>121</v>
      </c>
      <c r="O72">
        <v>7</v>
      </c>
      <c r="P72">
        <v>38.077839347999998</v>
      </c>
      <c r="Q72">
        <v>39.667130352999997</v>
      </c>
      <c r="R72">
        <v>18.621964308999999</v>
      </c>
      <c r="S72">
        <v>3.5958777319999999</v>
      </c>
      <c r="T72">
        <v>3.7188258000000467E-2</v>
      </c>
      <c r="U72" t="s">
        <v>120</v>
      </c>
      <c r="V72">
        <v>2508.6218477825678</v>
      </c>
      <c r="W72">
        <v>24.394352453987729</v>
      </c>
      <c r="AK72">
        <v>2508.6218477825678</v>
      </c>
      <c r="AL72">
        <v>24.394352453987729</v>
      </c>
      <c r="AM72" t="s">
        <v>128</v>
      </c>
      <c r="AN72">
        <v>13.07807685129</v>
      </c>
      <c r="AO72">
        <v>2</v>
      </c>
      <c r="AP72">
        <f t="shared" si="1"/>
        <v>4.6626633698339796E-2</v>
      </c>
    </row>
    <row r="73" spans="1:42" x14ac:dyDescent="0.2">
      <c r="A73" t="s">
        <v>112</v>
      </c>
      <c r="B73">
        <v>2017</v>
      </c>
      <c r="C73">
        <v>194.76501738988671</v>
      </c>
      <c r="D73">
        <v>86.699599094658026</v>
      </c>
      <c r="E73">
        <v>16.197820703573029</v>
      </c>
      <c r="F73">
        <v>3.6347304346286742</v>
      </c>
      <c r="G73">
        <v>7.8861943915509789</v>
      </c>
      <c r="H73">
        <v>3.84601877097001</v>
      </c>
      <c r="I73">
        <v>5.1394460191135902E-2</v>
      </c>
      <c r="J73">
        <v>0.40481980000000001</v>
      </c>
      <c r="K73">
        <v>0.35199999999999998</v>
      </c>
      <c r="L73">
        <v>13.2</v>
      </c>
      <c r="M73">
        <v>0.1786686066124448</v>
      </c>
      <c r="N73">
        <v>471</v>
      </c>
      <c r="O73">
        <v>15</v>
      </c>
      <c r="P73">
        <v>29.872684611</v>
      </c>
      <c r="Q73">
        <v>53.056716889999997</v>
      </c>
      <c r="R73">
        <v>13.284799642999999</v>
      </c>
      <c r="S73">
        <v>3.4560397630000002</v>
      </c>
      <c r="T73">
        <v>0.32975909299999268</v>
      </c>
      <c r="U73" t="s">
        <v>112</v>
      </c>
      <c r="V73">
        <v>2370.7031592003968</v>
      </c>
      <c r="W73">
        <v>30.405930350934462</v>
      </c>
      <c r="X73">
        <v>1.66</v>
      </c>
      <c r="AA73">
        <v>-3.74</v>
      </c>
      <c r="AD73">
        <v>762.69</v>
      </c>
      <c r="AF73">
        <v>71.239999999999995</v>
      </c>
      <c r="AH73">
        <v>3.98</v>
      </c>
      <c r="AI73">
        <v>13.53</v>
      </c>
      <c r="AK73">
        <v>2370.7031592003968</v>
      </c>
      <c r="AL73">
        <v>30.405930350934462</v>
      </c>
      <c r="AM73" t="s">
        <v>128</v>
      </c>
      <c r="AN73">
        <v>13.025506984570001</v>
      </c>
      <c r="AO73">
        <v>2</v>
      </c>
      <c r="AP73">
        <f t="shared" si="1"/>
        <v>4.0754694852887269E-2</v>
      </c>
    </row>
    <row r="74" spans="1:42" x14ac:dyDescent="0.2">
      <c r="A74" t="s">
        <v>113</v>
      </c>
      <c r="B74">
        <v>2017</v>
      </c>
      <c r="C74">
        <v>103.5228014755681</v>
      </c>
      <c r="D74">
        <v>55.06273753644215</v>
      </c>
      <c r="E74">
        <v>8.7954732846601935</v>
      </c>
      <c r="F74">
        <v>2.1604336402983182</v>
      </c>
      <c r="G74">
        <v>8.3504401377822628</v>
      </c>
      <c r="H74">
        <v>3.8758341337187052</v>
      </c>
      <c r="I74">
        <v>4.8549070568501503E-2</v>
      </c>
      <c r="J74">
        <v>0.24220169999999999</v>
      </c>
      <c r="K74">
        <v>0.34</v>
      </c>
      <c r="L74">
        <v>18.399999999999999</v>
      </c>
      <c r="M74">
        <v>0.17569052397169271</v>
      </c>
      <c r="N74">
        <v>138</v>
      </c>
      <c r="O74">
        <v>4</v>
      </c>
      <c r="P74">
        <v>31.476801612999999</v>
      </c>
      <c r="Q74">
        <v>44.569714195000003</v>
      </c>
      <c r="R74">
        <v>20.538086112999999</v>
      </c>
      <c r="S74">
        <v>3.3337673680000002</v>
      </c>
      <c r="T74">
        <v>8.163071100000252E-2</v>
      </c>
      <c r="U74" t="s">
        <v>121</v>
      </c>
      <c r="V74">
        <v>2580.8688516367979</v>
      </c>
      <c r="W74">
        <v>36.431287925168277</v>
      </c>
      <c r="AM74" t="s">
        <v>126</v>
      </c>
      <c r="AN74">
        <v>13.533609736100001</v>
      </c>
      <c r="AO74">
        <v>3</v>
      </c>
      <c r="AP74">
        <f t="shared" si="1"/>
        <v>8.1131780522119737E-2</v>
      </c>
    </row>
    <row r="75" spans="1:42" x14ac:dyDescent="0.2">
      <c r="A75" t="s">
        <v>114</v>
      </c>
      <c r="B75">
        <v>2017</v>
      </c>
      <c r="C75">
        <v>142.90875516839949</v>
      </c>
      <c r="D75">
        <v>111.5972863393682</v>
      </c>
      <c r="E75">
        <v>4.6164345068443664</v>
      </c>
      <c r="F75">
        <v>4.8171490506202082</v>
      </c>
      <c r="G75">
        <v>6.4228654008269448</v>
      </c>
      <c r="H75">
        <v>4.4157199630685238</v>
      </c>
      <c r="I75">
        <v>0</v>
      </c>
      <c r="J75">
        <v>1.5083378999999999</v>
      </c>
      <c r="K75">
        <v>0.40300000000000002</v>
      </c>
      <c r="L75">
        <v>8.3000000000000007</v>
      </c>
      <c r="M75">
        <v>0.17851341626400741</v>
      </c>
      <c r="N75">
        <v>18</v>
      </c>
      <c r="O75">
        <v>0</v>
      </c>
      <c r="P75">
        <v>33.833105740999997</v>
      </c>
      <c r="Q75">
        <v>39.664558149999998</v>
      </c>
      <c r="R75">
        <v>21.614783467999999</v>
      </c>
      <c r="S75">
        <v>4.4204055359999996</v>
      </c>
      <c r="T75">
        <v>0.46714710499999512</v>
      </c>
      <c r="U75" t="s">
        <v>114</v>
      </c>
      <c r="V75">
        <v>2149.7335178113399</v>
      </c>
      <c r="W75">
        <v>39.827638713285161</v>
      </c>
      <c r="AK75">
        <v>2149.7335178113399</v>
      </c>
      <c r="AL75">
        <v>39.827638713285161</v>
      </c>
      <c r="AM75" t="s">
        <v>124</v>
      </c>
      <c r="AN75">
        <v>13.007572151550001</v>
      </c>
      <c r="AO75">
        <v>2</v>
      </c>
      <c r="AP75">
        <f t="shared" si="1"/>
        <v>4.4943820224719107E-2</v>
      </c>
    </row>
    <row r="76" spans="1:42" x14ac:dyDescent="0.2">
      <c r="A76" t="s">
        <v>115</v>
      </c>
      <c r="B76">
        <v>2017</v>
      </c>
      <c r="C76">
        <v>154.07173597936011</v>
      </c>
      <c r="D76">
        <v>66.915524513617228</v>
      </c>
      <c r="E76">
        <v>11.1930066094704</v>
      </c>
      <c r="F76">
        <v>2.704976597288681</v>
      </c>
      <c r="G76">
        <v>6.8650440538085142</v>
      </c>
      <c r="H76">
        <v>2.1826362888467288</v>
      </c>
      <c r="I76">
        <v>0.42906525336303208</v>
      </c>
      <c r="J76">
        <v>4.7987609000000004</v>
      </c>
      <c r="K76">
        <v>0.435</v>
      </c>
      <c r="L76">
        <v>5.8</v>
      </c>
      <c r="M76">
        <v>0.18684899644472541</v>
      </c>
      <c r="N76">
        <v>40</v>
      </c>
      <c r="O76">
        <v>0</v>
      </c>
      <c r="P76">
        <v>41.304032888999998</v>
      </c>
      <c r="Q76">
        <v>45.199487470000001</v>
      </c>
      <c r="R76">
        <v>12.558575073</v>
      </c>
      <c r="S76">
        <v>0.86223981800000005</v>
      </c>
      <c r="T76">
        <v>7.5664750000001391E-2</v>
      </c>
      <c r="U76" t="s">
        <v>115</v>
      </c>
      <c r="V76">
        <v>2942.547754528327</v>
      </c>
      <c r="W76">
        <v>31.130701932119631</v>
      </c>
      <c r="AK76">
        <v>2942.547754528327</v>
      </c>
      <c r="AL76">
        <v>31.130701932119631</v>
      </c>
      <c r="AM76" t="s">
        <v>128</v>
      </c>
      <c r="AN76">
        <v>0</v>
      </c>
      <c r="AO76">
        <v>1</v>
      </c>
      <c r="AP76">
        <f t="shared" si="1"/>
        <v>4.7342293255842112E-2</v>
      </c>
    </row>
    <row r="77" spans="1:42" x14ac:dyDescent="0.2">
      <c r="A77" t="s">
        <v>116</v>
      </c>
      <c r="B77">
        <v>2017</v>
      </c>
      <c r="C77">
        <v>140.65077246572059</v>
      </c>
      <c r="D77">
        <v>57.895581773082689</v>
      </c>
      <c r="E77">
        <v>7.1375958499641152</v>
      </c>
      <c r="F77">
        <v>2.7385704032938389</v>
      </c>
      <c r="G77">
        <v>5.1308847785850089</v>
      </c>
      <c r="H77">
        <v>2.439531106382443</v>
      </c>
      <c r="I77">
        <v>0.18099746918321349</v>
      </c>
      <c r="J77">
        <v>0.42580129999999999</v>
      </c>
      <c r="K77">
        <v>0.372</v>
      </c>
      <c r="L77">
        <v>10.6</v>
      </c>
      <c r="M77">
        <v>0.1639379942251859</v>
      </c>
      <c r="N77">
        <v>186</v>
      </c>
      <c r="O77">
        <v>9</v>
      </c>
      <c r="P77">
        <v>27.354970407</v>
      </c>
      <c r="Q77">
        <v>51.381720633</v>
      </c>
      <c r="R77">
        <v>16.341636922999999</v>
      </c>
      <c r="S77">
        <v>4.6051193039999996</v>
      </c>
      <c r="T77">
        <v>0.31655273300000891</v>
      </c>
      <c r="U77" t="s">
        <v>116</v>
      </c>
      <c r="V77">
        <v>2858.356707344069</v>
      </c>
      <c r="W77">
        <v>31.19731216233583</v>
      </c>
      <c r="AK77">
        <v>2858.356707344069</v>
      </c>
      <c r="AL77">
        <v>31.19731216233583</v>
      </c>
      <c r="AM77" t="s">
        <v>127</v>
      </c>
      <c r="AN77">
        <v>0</v>
      </c>
      <c r="AO77">
        <v>1</v>
      </c>
      <c r="AP77">
        <f t="shared" si="1"/>
        <v>3.7766463380518117E-2</v>
      </c>
    </row>
    <row r="78" spans="1:42" x14ac:dyDescent="0.2">
      <c r="AP78" t="e">
        <f t="shared" si="1"/>
        <v>#DIV/0!</v>
      </c>
    </row>
    <row r="79" spans="1:42" x14ac:dyDescent="0.2">
      <c r="AP79" t="e">
        <f t="shared" si="1"/>
        <v>#DIV/0!</v>
      </c>
    </row>
    <row r="80" spans="1:42" x14ac:dyDescent="0.2">
      <c r="AP80" t="e">
        <f t="shared" si="1"/>
        <v>#DIV/0!</v>
      </c>
    </row>
    <row r="81" spans="42:42" x14ac:dyDescent="0.2">
      <c r="AP81" t="e">
        <f t="shared" si="1"/>
        <v>#DIV/0!</v>
      </c>
    </row>
    <row r="82" spans="42:42" x14ac:dyDescent="0.2">
      <c r="AP82" t="e">
        <f t="shared" si="1"/>
        <v>#DIV/0!</v>
      </c>
    </row>
    <row r="83" spans="42:42" x14ac:dyDescent="0.2">
      <c r="AP83" t="e">
        <f t="shared" si="1"/>
        <v>#DIV/0!</v>
      </c>
    </row>
    <row r="84" spans="42:42" x14ac:dyDescent="0.2">
      <c r="AP84" t="e">
        <f t="shared" si="1"/>
        <v>#DIV/0!</v>
      </c>
    </row>
    <row r="85" spans="42:42" x14ac:dyDescent="0.2">
      <c r="AP85" t="e">
        <f t="shared" si="1"/>
        <v>#DIV/0!</v>
      </c>
    </row>
    <row r="86" spans="42:42" x14ac:dyDescent="0.2">
      <c r="AP86" t="e">
        <f t="shared" si="1"/>
        <v>#DIV/0!</v>
      </c>
    </row>
    <row r="87" spans="42:42" x14ac:dyDescent="0.2">
      <c r="AP87" t="e">
        <f t="shared" si="1"/>
        <v>#DIV/0!</v>
      </c>
    </row>
    <row r="88" spans="42:42" x14ac:dyDescent="0.2">
      <c r="AP88" t="e">
        <f t="shared" si="1"/>
        <v>#DIV/0!</v>
      </c>
    </row>
    <row r="89" spans="42:42" x14ac:dyDescent="0.2">
      <c r="AP89" t="e">
        <f t="shared" si="1"/>
        <v>#DIV/0!</v>
      </c>
    </row>
    <row r="90" spans="42:42" x14ac:dyDescent="0.2">
      <c r="AP90" t="e">
        <f t="shared" si="1"/>
        <v>#DIV/0!</v>
      </c>
    </row>
    <row r="91" spans="42:42" x14ac:dyDescent="0.2">
      <c r="AP91" t="e">
        <f t="shared" si="1"/>
        <v>#DIV/0!</v>
      </c>
    </row>
    <row r="92" spans="42:42" x14ac:dyDescent="0.2">
      <c r="AP92" t="e">
        <f t="shared" si="1"/>
        <v>#DIV/0!</v>
      </c>
    </row>
    <row r="93" spans="42:42" x14ac:dyDescent="0.2">
      <c r="AP93" t="e">
        <f t="shared" si="1"/>
        <v>#DIV/0!</v>
      </c>
    </row>
    <row r="94" spans="42:42" x14ac:dyDescent="0.2">
      <c r="AP94" t="e">
        <f t="shared" si="1"/>
        <v>#DIV/0!</v>
      </c>
    </row>
    <row r="95" spans="42:42" x14ac:dyDescent="0.2">
      <c r="AP95" t="e">
        <f t="shared" si="1"/>
        <v>#DIV/0!</v>
      </c>
    </row>
    <row r="96" spans="42:42" x14ac:dyDescent="0.2">
      <c r="AP96" t="e">
        <f t="shared" si="1"/>
        <v>#DIV/0!</v>
      </c>
    </row>
    <row r="97" spans="42:42" x14ac:dyDescent="0.2">
      <c r="AP97" t="e">
        <f t="shared" si="1"/>
        <v>#DIV/0!</v>
      </c>
    </row>
    <row r="98" spans="42:42" x14ac:dyDescent="0.2">
      <c r="AP98" t="e">
        <f t="shared" si="1"/>
        <v>#DIV/0!</v>
      </c>
    </row>
    <row r="99" spans="42:42" x14ac:dyDescent="0.2">
      <c r="AP99" t="e">
        <f t="shared" si="1"/>
        <v>#DIV/0!</v>
      </c>
    </row>
    <row r="100" spans="42:42" x14ac:dyDescent="0.2">
      <c r="AP100" t="e">
        <f t="shared" si="1"/>
        <v>#DIV/0!</v>
      </c>
    </row>
    <row r="101" spans="42:42" x14ac:dyDescent="0.2">
      <c r="AP101" t="e">
        <f t="shared" si="1"/>
        <v>#DIV/0!</v>
      </c>
    </row>
    <row r="102" spans="42:42" x14ac:dyDescent="0.2">
      <c r="AP102" t="e">
        <f t="shared" si="1"/>
        <v>#DIV/0!</v>
      </c>
    </row>
    <row r="103" spans="42:42" x14ac:dyDescent="0.2">
      <c r="AP103" t="e">
        <f t="shared" si="1"/>
        <v>#DIV/0!</v>
      </c>
    </row>
    <row r="104" spans="42:42" x14ac:dyDescent="0.2">
      <c r="AP104" t="e">
        <f t="shared" si="1"/>
        <v>#DIV/0!</v>
      </c>
    </row>
    <row r="105" spans="42:42" x14ac:dyDescent="0.2">
      <c r="AP105" t="e">
        <f t="shared" si="1"/>
        <v>#DIV/0!</v>
      </c>
    </row>
    <row r="106" spans="42:42" x14ac:dyDescent="0.2">
      <c r="AP106" t="e">
        <f t="shared" si="1"/>
        <v>#DIV/0!</v>
      </c>
    </row>
    <row r="107" spans="42:42" x14ac:dyDescent="0.2">
      <c r="AP107" t="e">
        <f t="shared" si="1"/>
        <v>#DIV/0!</v>
      </c>
    </row>
    <row r="108" spans="42:42" x14ac:dyDescent="0.2">
      <c r="AP108" t="e">
        <f t="shared" si="1"/>
        <v>#DIV/0!</v>
      </c>
    </row>
    <row r="109" spans="42:42" x14ac:dyDescent="0.2">
      <c r="AP109" t="e">
        <f t="shared" si="1"/>
        <v>#DIV/0!</v>
      </c>
    </row>
    <row r="110" spans="42:42" x14ac:dyDescent="0.2">
      <c r="AP110" t="e">
        <f t="shared" si="1"/>
        <v>#DIV/0!</v>
      </c>
    </row>
    <row r="111" spans="42:42" x14ac:dyDescent="0.2">
      <c r="AP111" t="e">
        <f t="shared" si="1"/>
        <v>#DIV/0!</v>
      </c>
    </row>
    <row r="112" spans="42:42" x14ac:dyDescent="0.2">
      <c r="AP112" t="e">
        <f t="shared" si="1"/>
        <v>#DIV/0!</v>
      </c>
    </row>
    <row r="113" spans="42:42" x14ac:dyDescent="0.2">
      <c r="AP113" t="e">
        <f t="shared" si="1"/>
        <v>#DIV/0!</v>
      </c>
    </row>
    <row r="114" spans="42:42" x14ac:dyDescent="0.2">
      <c r="AP114" t="e">
        <f t="shared" si="1"/>
        <v>#DIV/0!</v>
      </c>
    </row>
    <row r="115" spans="42:42" x14ac:dyDescent="0.2">
      <c r="AP115" t="e">
        <f t="shared" si="1"/>
        <v>#DIV/0!</v>
      </c>
    </row>
    <row r="116" spans="42:42" x14ac:dyDescent="0.2">
      <c r="AP116" t="e">
        <f t="shared" si="1"/>
        <v>#DIV/0!</v>
      </c>
    </row>
    <row r="117" spans="42:42" x14ac:dyDescent="0.2">
      <c r="AP117" t="e">
        <f t="shared" si="1"/>
        <v>#DIV/0!</v>
      </c>
    </row>
    <row r="118" spans="42:42" x14ac:dyDescent="0.2">
      <c r="AP118" t="e">
        <f t="shared" si="1"/>
        <v>#DIV/0!</v>
      </c>
    </row>
    <row r="119" spans="42:42" x14ac:dyDescent="0.2">
      <c r="AP119" t="e">
        <f t="shared" si="1"/>
        <v>#DIV/0!</v>
      </c>
    </row>
    <row r="120" spans="42:42" x14ac:dyDescent="0.2">
      <c r="AP120" t="e">
        <f t="shared" si="1"/>
        <v>#DIV/0!</v>
      </c>
    </row>
    <row r="121" spans="42:42" x14ac:dyDescent="0.2">
      <c r="AP121" t="e">
        <f t="shared" si="1"/>
        <v>#DIV/0!</v>
      </c>
    </row>
    <row r="122" spans="42:42" x14ac:dyDescent="0.2">
      <c r="AP122" t="e">
        <f t="shared" si="1"/>
        <v>#DIV/0!</v>
      </c>
    </row>
    <row r="123" spans="42:42" x14ac:dyDescent="0.2">
      <c r="AP123" t="e">
        <f t="shared" si="1"/>
        <v>#DIV/0!</v>
      </c>
    </row>
    <row r="124" spans="42:42" x14ac:dyDescent="0.2">
      <c r="AP124" t="e">
        <f t="shared" si="1"/>
        <v>#DIV/0!</v>
      </c>
    </row>
    <row r="125" spans="42:42" x14ac:dyDescent="0.2">
      <c r="AP125" t="e">
        <f t="shared" si="1"/>
        <v>#DIV/0!</v>
      </c>
    </row>
    <row r="126" spans="42:42" x14ac:dyDescent="0.2">
      <c r="AP126" t="e">
        <f t="shared" si="1"/>
        <v>#DIV/0!</v>
      </c>
    </row>
    <row r="127" spans="42:42" x14ac:dyDescent="0.2">
      <c r="AP127" t="e">
        <f t="shared" si="1"/>
        <v>#DIV/0!</v>
      </c>
    </row>
    <row r="128" spans="42:42" x14ac:dyDescent="0.2">
      <c r="AP128" t="e">
        <f t="shared" si="1"/>
        <v>#DIV/0!</v>
      </c>
    </row>
    <row r="129" spans="42:42" x14ac:dyDescent="0.2">
      <c r="AP129" t="e">
        <f t="shared" si="1"/>
        <v>#DIV/0!</v>
      </c>
    </row>
    <row r="130" spans="42:42" x14ac:dyDescent="0.2">
      <c r="AP130" t="e">
        <f t="shared" si="1"/>
        <v>#DIV/0!</v>
      </c>
    </row>
    <row r="131" spans="42:42" x14ac:dyDescent="0.2">
      <c r="AP131" t="e">
        <f t="shared" ref="AP131:AP194" si="2">(G131+I131)/C131</f>
        <v>#DIV/0!</v>
      </c>
    </row>
    <row r="132" spans="42:42" x14ac:dyDescent="0.2">
      <c r="AP132" t="e">
        <f t="shared" si="2"/>
        <v>#DIV/0!</v>
      </c>
    </row>
    <row r="133" spans="42:42" x14ac:dyDescent="0.2">
      <c r="AP133" t="e">
        <f t="shared" si="2"/>
        <v>#DIV/0!</v>
      </c>
    </row>
    <row r="134" spans="42:42" x14ac:dyDescent="0.2">
      <c r="AP134" t="e">
        <f t="shared" si="2"/>
        <v>#DIV/0!</v>
      </c>
    </row>
    <row r="135" spans="42:42" x14ac:dyDescent="0.2">
      <c r="AP135" t="e">
        <f t="shared" si="2"/>
        <v>#DIV/0!</v>
      </c>
    </row>
    <row r="136" spans="42:42" x14ac:dyDescent="0.2">
      <c r="AP136" t="e">
        <f t="shared" si="2"/>
        <v>#DIV/0!</v>
      </c>
    </row>
    <row r="137" spans="42:42" x14ac:dyDescent="0.2">
      <c r="AP137" t="e">
        <f t="shared" si="2"/>
        <v>#DIV/0!</v>
      </c>
    </row>
    <row r="138" spans="42:42" x14ac:dyDescent="0.2">
      <c r="AP138" t="e">
        <f t="shared" si="2"/>
        <v>#DIV/0!</v>
      </c>
    </row>
    <row r="139" spans="42:42" x14ac:dyDescent="0.2">
      <c r="AP139" t="e">
        <f t="shared" si="2"/>
        <v>#DIV/0!</v>
      </c>
    </row>
    <row r="140" spans="42:42" x14ac:dyDescent="0.2">
      <c r="AP140" t="e">
        <f t="shared" si="2"/>
        <v>#DIV/0!</v>
      </c>
    </row>
    <row r="141" spans="42:42" x14ac:dyDescent="0.2">
      <c r="AP141" t="e">
        <f t="shared" si="2"/>
        <v>#DIV/0!</v>
      </c>
    </row>
    <row r="142" spans="42:42" x14ac:dyDescent="0.2">
      <c r="AP142" t="e">
        <f t="shared" si="2"/>
        <v>#DIV/0!</v>
      </c>
    </row>
    <row r="143" spans="42:42" x14ac:dyDescent="0.2">
      <c r="AP143" t="e">
        <f t="shared" si="2"/>
        <v>#DIV/0!</v>
      </c>
    </row>
    <row r="144" spans="42:42" x14ac:dyDescent="0.2">
      <c r="AP144" t="e">
        <f t="shared" si="2"/>
        <v>#DIV/0!</v>
      </c>
    </row>
    <row r="145" spans="42:42" x14ac:dyDescent="0.2">
      <c r="AP145" t="e">
        <f t="shared" si="2"/>
        <v>#DIV/0!</v>
      </c>
    </row>
    <row r="146" spans="42:42" x14ac:dyDescent="0.2">
      <c r="AP146" t="e">
        <f t="shared" si="2"/>
        <v>#DIV/0!</v>
      </c>
    </row>
    <row r="147" spans="42:42" x14ac:dyDescent="0.2">
      <c r="AP147" t="e">
        <f t="shared" si="2"/>
        <v>#DIV/0!</v>
      </c>
    </row>
    <row r="148" spans="42:42" x14ac:dyDescent="0.2">
      <c r="AP148" t="e">
        <f t="shared" si="2"/>
        <v>#DIV/0!</v>
      </c>
    </row>
    <row r="149" spans="42:42" x14ac:dyDescent="0.2">
      <c r="AP149" t="e">
        <f t="shared" si="2"/>
        <v>#DIV/0!</v>
      </c>
    </row>
    <row r="150" spans="42:42" x14ac:dyDescent="0.2">
      <c r="AP150" t="e">
        <f t="shared" si="2"/>
        <v>#DIV/0!</v>
      </c>
    </row>
    <row r="151" spans="42:42" x14ac:dyDescent="0.2">
      <c r="AP151" t="e">
        <f t="shared" si="2"/>
        <v>#DIV/0!</v>
      </c>
    </row>
    <row r="152" spans="42:42" x14ac:dyDescent="0.2">
      <c r="AP152" t="e">
        <f t="shared" si="2"/>
        <v>#DIV/0!</v>
      </c>
    </row>
    <row r="153" spans="42:42" x14ac:dyDescent="0.2">
      <c r="AP153" t="e">
        <f t="shared" si="2"/>
        <v>#DIV/0!</v>
      </c>
    </row>
    <row r="154" spans="42:42" x14ac:dyDescent="0.2">
      <c r="AP154" t="e">
        <f t="shared" si="2"/>
        <v>#DIV/0!</v>
      </c>
    </row>
    <row r="155" spans="42:42" x14ac:dyDescent="0.2">
      <c r="AP155" t="e">
        <f t="shared" si="2"/>
        <v>#DIV/0!</v>
      </c>
    </row>
    <row r="156" spans="42:42" x14ac:dyDescent="0.2">
      <c r="AP156" t="e">
        <f t="shared" si="2"/>
        <v>#DIV/0!</v>
      </c>
    </row>
    <row r="157" spans="42:42" x14ac:dyDescent="0.2">
      <c r="AP157" t="e">
        <f t="shared" si="2"/>
        <v>#DIV/0!</v>
      </c>
    </row>
    <row r="158" spans="42:42" x14ac:dyDescent="0.2">
      <c r="AP158" t="e">
        <f t="shared" si="2"/>
        <v>#DIV/0!</v>
      </c>
    </row>
    <row r="159" spans="42:42" x14ac:dyDescent="0.2">
      <c r="AP159" t="e">
        <f t="shared" si="2"/>
        <v>#DIV/0!</v>
      </c>
    </row>
    <row r="160" spans="42:42" x14ac:dyDescent="0.2">
      <c r="AP160" t="e">
        <f t="shared" si="2"/>
        <v>#DIV/0!</v>
      </c>
    </row>
    <row r="161" spans="42:42" x14ac:dyDescent="0.2">
      <c r="AP161" t="e">
        <f t="shared" si="2"/>
        <v>#DIV/0!</v>
      </c>
    </row>
    <row r="162" spans="42:42" x14ac:dyDescent="0.2">
      <c r="AP162" t="e">
        <f t="shared" si="2"/>
        <v>#DIV/0!</v>
      </c>
    </row>
    <row r="163" spans="42:42" x14ac:dyDescent="0.2">
      <c r="AP163" t="e">
        <f t="shared" si="2"/>
        <v>#DIV/0!</v>
      </c>
    </row>
    <row r="164" spans="42:42" x14ac:dyDescent="0.2">
      <c r="AP164" t="e">
        <f t="shared" si="2"/>
        <v>#DIV/0!</v>
      </c>
    </row>
    <row r="165" spans="42:42" x14ac:dyDescent="0.2">
      <c r="AP165" t="e">
        <f t="shared" si="2"/>
        <v>#DIV/0!</v>
      </c>
    </row>
    <row r="166" spans="42:42" x14ac:dyDescent="0.2">
      <c r="AP166" t="e">
        <f t="shared" si="2"/>
        <v>#DIV/0!</v>
      </c>
    </row>
    <row r="167" spans="42:42" x14ac:dyDescent="0.2">
      <c r="AP167" t="e">
        <f t="shared" si="2"/>
        <v>#DIV/0!</v>
      </c>
    </row>
    <row r="168" spans="42:42" x14ac:dyDescent="0.2">
      <c r="AP168" t="e">
        <f t="shared" si="2"/>
        <v>#DIV/0!</v>
      </c>
    </row>
    <row r="169" spans="42:42" x14ac:dyDescent="0.2">
      <c r="AP169" t="e">
        <f t="shared" si="2"/>
        <v>#DIV/0!</v>
      </c>
    </row>
    <row r="170" spans="42:42" x14ac:dyDescent="0.2">
      <c r="AP170" t="e">
        <f t="shared" si="2"/>
        <v>#DIV/0!</v>
      </c>
    </row>
    <row r="171" spans="42:42" x14ac:dyDescent="0.2">
      <c r="AP171" t="e">
        <f t="shared" si="2"/>
        <v>#DIV/0!</v>
      </c>
    </row>
    <row r="172" spans="42:42" x14ac:dyDescent="0.2">
      <c r="AP172" t="e">
        <f t="shared" si="2"/>
        <v>#DIV/0!</v>
      </c>
    </row>
    <row r="173" spans="42:42" x14ac:dyDescent="0.2">
      <c r="AP173" t="e">
        <f t="shared" si="2"/>
        <v>#DIV/0!</v>
      </c>
    </row>
    <row r="174" spans="42:42" x14ac:dyDescent="0.2">
      <c r="AP174" t="e">
        <f t="shared" si="2"/>
        <v>#DIV/0!</v>
      </c>
    </row>
    <row r="175" spans="42:42" x14ac:dyDescent="0.2">
      <c r="AP175" t="e">
        <f t="shared" si="2"/>
        <v>#DIV/0!</v>
      </c>
    </row>
    <row r="176" spans="42:42" x14ac:dyDescent="0.2">
      <c r="AP176" t="e">
        <f t="shared" si="2"/>
        <v>#DIV/0!</v>
      </c>
    </row>
    <row r="177" spans="42:42" x14ac:dyDescent="0.2">
      <c r="AP177" t="e">
        <f t="shared" si="2"/>
        <v>#DIV/0!</v>
      </c>
    </row>
    <row r="178" spans="42:42" x14ac:dyDescent="0.2">
      <c r="AP178" t="e">
        <f t="shared" si="2"/>
        <v>#DIV/0!</v>
      </c>
    </row>
    <row r="179" spans="42:42" x14ac:dyDescent="0.2">
      <c r="AP179" t="e">
        <f t="shared" si="2"/>
        <v>#DIV/0!</v>
      </c>
    </row>
    <row r="180" spans="42:42" x14ac:dyDescent="0.2">
      <c r="AP180" t="e">
        <f t="shared" si="2"/>
        <v>#DIV/0!</v>
      </c>
    </row>
    <row r="181" spans="42:42" x14ac:dyDescent="0.2">
      <c r="AP181" t="e">
        <f t="shared" si="2"/>
        <v>#DIV/0!</v>
      </c>
    </row>
    <row r="182" spans="42:42" x14ac:dyDescent="0.2">
      <c r="AP182" t="e">
        <f t="shared" si="2"/>
        <v>#DIV/0!</v>
      </c>
    </row>
    <row r="183" spans="42:42" x14ac:dyDescent="0.2">
      <c r="AP183" t="e">
        <f t="shared" si="2"/>
        <v>#DIV/0!</v>
      </c>
    </row>
    <row r="184" spans="42:42" x14ac:dyDescent="0.2">
      <c r="AP184" t="e">
        <f t="shared" si="2"/>
        <v>#DIV/0!</v>
      </c>
    </row>
    <row r="185" spans="42:42" x14ac:dyDescent="0.2">
      <c r="AP185" t="e">
        <f t="shared" si="2"/>
        <v>#DIV/0!</v>
      </c>
    </row>
    <row r="186" spans="42:42" x14ac:dyDescent="0.2">
      <c r="AP186" t="e">
        <f t="shared" si="2"/>
        <v>#DIV/0!</v>
      </c>
    </row>
    <row r="187" spans="42:42" x14ac:dyDescent="0.2">
      <c r="AP187" t="e">
        <f t="shared" si="2"/>
        <v>#DIV/0!</v>
      </c>
    </row>
    <row r="188" spans="42:42" x14ac:dyDescent="0.2">
      <c r="AP188" t="e">
        <f t="shared" si="2"/>
        <v>#DIV/0!</v>
      </c>
    </row>
    <row r="189" spans="42:42" x14ac:dyDescent="0.2">
      <c r="AP189" t="e">
        <f t="shared" si="2"/>
        <v>#DIV/0!</v>
      </c>
    </row>
    <row r="190" spans="42:42" x14ac:dyDescent="0.2">
      <c r="AP190" t="e">
        <f t="shared" si="2"/>
        <v>#DIV/0!</v>
      </c>
    </row>
    <row r="191" spans="42:42" x14ac:dyDescent="0.2">
      <c r="AP191" t="e">
        <f t="shared" si="2"/>
        <v>#DIV/0!</v>
      </c>
    </row>
    <row r="192" spans="42:42" x14ac:dyDescent="0.2">
      <c r="AP192" t="e">
        <f t="shared" si="2"/>
        <v>#DIV/0!</v>
      </c>
    </row>
    <row r="193" spans="42:42" x14ac:dyDescent="0.2">
      <c r="AP193" t="e">
        <f t="shared" si="2"/>
        <v>#DIV/0!</v>
      </c>
    </row>
    <row r="194" spans="42:42" x14ac:dyDescent="0.2">
      <c r="AP194" t="e">
        <f t="shared" si="2"/>
        <v>#DIV/0!</v>
      </c>
    </row>
    <row r="195" spans="42:42" x14ac:dyDescent="0.2">
      <c r="AP195" t="e">
        <f t="shared" ref="AP195:AP258" si="3">(G195+I195)/C195</f>
        <v>#DIV/0!</v>
      </c>
    </row>
    <row r="196" spans="42:42" x14ac:dyDescent="0.2">
      <c r="AP196" t="e">
        <f t="shared" si="3"/>
        <v>#DIV/0!</v>
      </c>
    </row>
    <row r="197" spans="42:42" x14ac:dyDescent="0.2">
      <c r="AP197" t="e">
        <f t="shared" si="3"/>
        <v>#DIV/0!</v>
      </c>
    </row>
    <row r="198" spans="42:42" x14ac:dyDescent="0.2">
      <c r="AP198" t="e">
        <f t="shared" si="3"/>
        <v>#DIV/0!</v>
      </c>
    </row>
    <row r="199" spans="42:42" x14ac:dyDescent="0.2">
      <c r="AP199" t="e">
        <f t="shared" si="3"/>
        <v>#DIV/0!</v>
      </c>
    </row>
    <row r="200" spans="42:42" x14ac:dyDescent="0.2">
      <c r="AP200" t="e">
        <f t="shared" si="3"/>
        <v>#DIV/0!</v>
      </c>
    </row>
    <row r="201" spans="42:42" x14ac:dyDescent="0.2">
      <c r="AP201" t="e">
        <f t="shared" si="3"/>
        <v>#DIV/0!</v>
      </c>
    </row>
    <row r="202" spans="42:42" x14ac:dyDescent="0.2">
      <c r="AP202" t="e">
        <f t="shared" si="3"/>
        <v>#DIV/0!</v>
      </c>
    </row>
    <row r="203" spans="42:42" x14ac:dyDescent="0.2">
      <c r="AP203" t="e">
        <f t="shared" si="3"/>
        <v>#DIV/0!</v>
      </c>
    </row>
    <row r="204" spans="42:42" x14ac:dyDescent="0.2">
      <c r="AP204" t="e">
        <f t="shared" si="3"/>
        <v>#DIV/0!</v>
      </c>
    </row>
    <row r="205" spans="42:42" x14ac:dyDescent="0.2">
      <c r="AP205" t="e">
        <f t="shared" si="3"/>
        <v>#DIV/0!</v>
      </c>
    </row>
    <row r="206" spans="42:42" x14ac:dyDescent="0.2">
      <c r="AP206" t="e">
        <f t="shared" si="3"/>
        <v>#DIV/0!</v>
      </c>
    </row>
    <row r="207" spans="42:42" x14ac:dyDescent="0.2">
      <c r="AP207" t="e">
        <f t="shared" si="3"/>
        <v>#DIV/0!</v>
      </c>
    </row>
    <row r="208" spans="42:42" x14ac:dyDescent="0.2">
      <c r="AP208" t="e">
        <f t="shared" si="3"/>
        <v>#DIV/0!</v>
      </c>
    </row>
    <row r="209" spans="42:42" x14ac:dyDescent="0.2">
      <c r="AP209" t="e">
        <f t="shared" si="3"/>
        <v>#DIV/0!</v>
      </c>
    </row>
    <row r="210" spans="42:42" x14ac:dyDescent="0.2">
      <c r="AP210" t="e">
        <f t="shared" si="3"/>
        <v>#DIV/0!</v>
      </c>
    </row>
    <row r="211" spans="42:42" x14ac:dyDescent="0.2">
      <c r="AP211" t="e">
        <f t="shared" si="3"/>
        <v>#DIV/0!</v>
      </c>
    </row>
    <row r="212" spans="42:42" x14ac:dyDescent="0.2">
      <c r="AP212" t="e">
        <f t="shared" si="3"/>
        <v>#DIV/0!</v>
      </c>
    </row>
    <row r="213" spans="42:42" x14ac:dyDescent="0.2">
      <c r="AP213" t="e">
        <f t="shared" si="3"/>
        <v>#DIV/0!</v>
      </c>
    </row>
    <row r="214" spans="42:42" x14ac:dyDescent="0.2">
      <c r="AP214" t="e">
        <f t="shared" si="3"/>
        <v>#DIV/0!</v>
      </c>
    </row>
    <row r="215" spans="42:42" x14ac:dyDescent="0.2">
      <c r="AP215" t="e">
        <f t="shared" si="3"/>
        <v>#DIV/0!</v>
      </c>
    </row>
    <row r="216" spans="42:42" x14ac:dyDescent="0.2">
      <c r="AP216" t="e">
        <f t="shared" si="3"/>
        <v>#DIV/0!</v>
      </c>
    </row>
    <row r="217" spans="42:42" x14ac:dyDescent="0.2">
      <c r="AP217" t="e">
        <f t="shared" si="3"/>
        <v>#DIV/0!</v>
      </c>
    </row>
    <row r="218" spans="42:42" x14ac:dyDescent="0.2">
      <c r="AP218" t="e">
        <f t="shared" si="3"/>
        <v>#DIV/0!</v>
      </c>
    </row>
    <row r="219" spans="42:42" x14ac:dyDescent="0.2">
      <c r="AP219" t="e">
        <f t="shared" si="3"/>
        <v>#DIV/0!</v>
      </c>
    </row>
    <row r="220" spans="42:42" x14ac:dyDescent="0.2">
      <c r="AP220" t="e">
        <f t="shared" si="3"/>
        <v>#DIV/0!</v>
      </c>
    </row>
    <row r="221" spans="42:42" x14ac:dyDescent="0.2">
      <c r="AP221" t="e">
        <f t="shared" si="3"/>
        <v>#DIV/0!</v>
      </c>
    </row>
    <row r="222" spans="42:42" x14ac:dyDescent="0.2">
      <c r="AP222" t="e">
        <f t="shared" si="3"/>
        <v>#DIV/0!</v>
      </c>
    </row>
    <row r="223" spans="42:42" x14ac:dyDescent="0.2">
      <c r="AP223" t="e">
        <f t="shared" si="3"/>
        <v>#DIV/0!</v>
      </c>
    </row>
    <row r="224" spans="42:42" x14ac:dyDescent="0.2">
      <c r="AP224" t="e">
        <f t="shared" si="3"/>
        <v>#DIV/0!</v>
      </c>
    </row>
    <row r="225" spans="42:42" x14ac:dyDescent="0.2">
      <c r="AP225" t="e">
        <f t="shared" si="3"/>
        <v>#DIV/0!</v>
      </c>
    </row>
    <row r="226" spans="42:42" x14ac:dyDescent="0.2">
      <c r="AP226" t="e">
        <f t="shared" si="3"/>
        <v>#DIV/0!</v>
      </c>
    </row>
    <row r="227" spans="42:42" x14ac:dyDescent="0.2">
      <c r="AP227" t="e">
        <f t="shared" si="3"/>
        <v>#DIV/0!</v>
      </c>
    </row>
    <row r="228" spans="42:42" x14ac:dyDescent="0.2">
      <c r="AP228" t="e">
        <f t="shared" si="3"/>
        <v>#DIV/0!</v>
      </c>
    </row>
    <row r="229" spans="42:42" x14ac:dyDescent="0.2">
      <c r="AP229" t="e">
        <f t="shared" si="3"/>
        <v>#DIV/0!</v>
      </c>
    </row>
    <row r="230" spans="42:42" x14ac:dyDescent="0.2">
      <c r="AP230" t="e">
        <f t="shared" si="3"/>
        <v>#DIV/0!</v>
      </c>
    </row>
    <row r="231" spans="42:42" x14ac:dyDescent="0.2">
      <c r="AP231" t="e">
        <f t="shared" si="3"/>
        <v>#DIV/0!</v>
      </c>
    </row>
    <row r="232" spans="42:42" x14ac:dyDescent="0.2">
      <c r="AP232" t="e">
        <f t="shared" si="3"/>
        <v>#DIV/0!</v>
      </c>
    </row>
    <row r="233" spans="42:42" x14ac:dyDescent="0.2">
      <c r="AP233" t="e">
        <f t="shared" si="3"/>
        <v>#DIV/0!</v>
      </c>
    </row>
    <row r="234" spans="42:42" x14ac:dyDescent="0.2">
      <c r="AP234" t="e">
        <f t="shared" si="3"/>
        <v>#DIV/0!</v>
      </c>
    </row>
    <row r="235" spans="42:42" x14ac:dyDescent="0.2">
      <c r="AP235" t="e">
        <f t="shared" si="3"/>
        <v>#DIV/0!</v>
      </c>
    </row>
    <row r="236" spans="42:42" x14ac:dyDescent="0.2">
      <c r="AP236" t="e">
        <f t="shared" si="3"/>
        <v>#DIV/0!</v>
      </c>
    </row>
    <row r="237" spans="42:42" x14ac:dyDescent="0.2">
      <c r="AP237" t="e">
        <f t="shared" si="3"/>
        <v>#DIV/0!</v>
      </c>
    </row>
    <row r="238" spans="42:42" x14ac:dyDescent="0.2">
      <c r="AP238" t="e">
        <f t="shared" si="3"/>
        <v>#DIV/0!</v>
      </c>
    </row>
    <row r="239" spans="42:42" x14ac:dyDescent="0.2">
      <c r="AP239" t="e">
        <f t="shared" si="3"/>
        <v>#DIV/0!</v>
      </c>
    </row>
    <row r="240" spans="42:42" x14ac:dyDescent="0.2">
      <c r="AP240" t="e">
        <f t="shared" si="3"/>
        <v>#DIV/0!</v>
      </c>
    </row>
    <row r="241" spans="42:42" x14ac:dyDescent="0.2">
      <c r="AP241" t="e">
        <f t="shared" si="3"/>
        <v>#DIV/0!</v>
      </c>
    </row>
    <row r="242" spans="42:42" x14ac:dyDescent="0.2">
      <c r="AP242" t="e">
        <f t="shared" si="3"/>
        <v>#DIV/0!</v>
      </c>
    </row>
    <row r="243" spans="42:42" x14ac:dyDescent="0.2">
      <c r="AP243" t="e">
        <f t="shared" si="3"/>
        <v>#DIV/0!</v>
      </c>
    </row>
    <row r="244" spans="42:42" x14ac:dyDescent="0.2">
      <c r="AP244" t="e">
        <f t="shared" si="3"/>
        <v>#DIV/0!</v>
      </c>
    </row>
    <row r="245" spans="42:42" x14ac:dyDescent="0.2">
      <c r="AP245" t="e">
        <f t="shared" si="3"/>
        <v>#DIV/0!</v>
      </c>
    </row>
    <row r="246" spans="42:42" x14ac:dyDescent="0.2">
      <c r="AP246" t="e">
        <f t="shared" si="3"/>
        <v>#DIV/0!</v>
      </c>
    </row>
    <row r="247" spans="42:42" x14ac:dyDescent="0.2">
      <c r="AP247" t="e">
        <f t="shared" si="3"/>
        <v>#DIV/0!</v>
      </c>
    </row>
    <row r="248" spans="42:42" x14ac:dyDescent="0.2">
      <c r="AP248" t="e">
        <f t="shared" si="3"/>
        <v>#DIV/0!</v>
      </c>
    </row>
    <row r="249" spans="42:42" x14ac:dyDescent="0.2">
      <c r="AP249" t="e">
        <f t="shared" si="3"/>
        <v>#DIV/0!</v>
      </c>
    </row>
    <row r="250" spans="42:42" x14ac:dyDescent="0.2">
      <c r="AP250" t="e">
        <f t="shared" si="3"/>
        <v>#DIV/0!</v>
      </c>
    </row>
    <row r="251" spans="42:42" x14ac:dyDescent="0.2">
      <c r="AP251" t="e">
        <f t="shared" si="3"/>
        <v>#DIV/0!</v>
      </c>
    </row>
    <row r="252" spans="42:42" x14ac:dyDescent="0.2">
      <c r="AP252" t="e">
        <f t="shared" si="3"/>
        <v>#DIV/0!</v>
      </c>
    </row>
    <row r="253" spans="42:42" x14ac:dyDescent="0.2">
      <c r="AP253" t="e">
        <f t="shared" si="3"/>
        <v>#DIV/0!</v>
      </c>
    </row>
    <row r="254" spans="42:42" x14ac:dyDescent="0.2">
      <c r="AP254" t="e">
        <f t="shared" si="3"/>
        <v>#DIV/0!</v>
      </c>
    </row>
    <row r="255" spans="42:42" x14ac:dyDescent="0.2">
      <c r="AP255" t="e">
        <f t="shared" si="3"/>
        <v>#DIV/0!</v>
      </c>
    </row>
    <row r="256" spans="42:42" x14ac:dyDescent="0.2">
      <c r="AP256" t="e">
        <f t="shared" si="3"/>
        <v>#DIV/0!</v>
      </c>
    </row>
    <row r="257" spans="42:42" x14ac:dyDescent="0.2">
      <c r="AP257" t="e">
        <f t="shared" si="3"/>
        <v>#DIV/0!</v>
      </c>
    </row>
    <row r="258" spans="42:42" x14ac:dyDescent="0.2">
      <c r="AP258" t="e">
        <f t="shared" si="3"/>
        <v>#DIV/0!</v>
      </c>
    </row>
    <row r="259" spans="42:42" x14ac:dyDescent="0.2">
      <c r="AP259" t="e">
        <f t="shared" ref="AP259:AP322" si="4">(G259+I259)/C259</f>
        <v>#DIV/0!</v>
      </c>
    </row>
    <row r="260" spans="42:42" x14ac:dyDescent="0.2">
      <c r="AP260" t="e">
        <f t="shared" si="4"/>
        <v>#DIV/0!</v>
      </c>
    </row>
    <row r="261" spans="42:42" x14ac:dyDescent="0.2">
      <c r="AP261" t="e">
        <f t="shared" si="4"/>
        <v>#DIV/0!</v>
      </c>
    </row>
    <row r="262" spans="42:42" x14ac:dyDescent="0.2">
      <c r="AP262" t="e">
        <f t="shared" si="4"/>
        <v>#DIV/0!</v>
      </c>
    </row>
    <row r="263" spans="42:42" x14ac:dyDescent="0.2">
      <c r="AP263" t="e">
        <f t="shared" si="4"/>
        <v>#DIV/0!</v>
      </c>
    </row>
    <row r="264" spans="42:42" x14ac:dyDescent="0.2">
      <c r="AP264" t="e">
        <f t="shared" si="4"/>
        <v>#DIV/0!</v>
      </c>
    </row>
    <row r="265" spans="42:42" x14ac:dyDescent="0.2">
      <c r="AP265" t="e">
        <f t="shared" si="4"/>
        <v>#DIV/0!</v>
      </c>
    </row>
    <row r="266" spans="42:42" x14ac:dyDescent="0.2">
      <c r="AP266" t="e">
        <f t="shared" si="4"/>
        <v>#DIV/0!</v>
      </c>
    </row>
    <row r="267" spans="42:42" x14ac:dyDescent="0.2">
      <c r="AP267" t="e">
        <f t="shared" si="4"/>
        <v>#DIV/0!</v>
      </c>
    </row>
    <row r="268" spans="42:42" x14ac:dyDescent="0.2">
      <c r="AP268" t="e">
        <f t="shared" si="4"/>
        <v>#DIV/0!</v>
      </c>
    </row>
    <row r="269" spans="42:42" x14ac:dyDescent="0.2">
      <c r="AP269" t="e">
        <f t="shared" si="4"/>
        <v>#DIV/0!</v>
      </c>
    </row>
    <row r="270" spans="42:42" x14ac:dyDescent="0.2">
      <c r="AP270" t="e">
        <f t="shared" si="4"/>
        <v>#DIV/0!</v>
      </c>
    </row>
    <row r="271" spans="42:42" x14ac:dyDescent="0.2">
      <c r="AP271" t="e">
        <f t="shared" si="4"/>
        <v>#DIV/0!</v>
      </c>
    </row>
    <row r="272" spans="42:42" x14ac:dyDescent="0.2">
      <c r="AP272" t="e">
        <f t="shared" si="4"/>
        <v>#DIV/0!</v>
      </c>
    </row>
    <row r="273" spans="42:42" x14ac:dyDescent="0.2">
      <c r="AP273" t="e">
        <f t="shared" si="4"/>
        <v>#DIV/0!</v>
      </c>
    </row>
    <row r="274" spans="42:42" x14ac:dyDescent="0.2">
      <c r="AP274" t="e">
        <f t="shared" si="4"/>
        <v>#DIV/0!</v>
      </c>
    </row>
    <row r="275" spans="42:42" x14ac:dyDescent="0.2">
      <c r="AP275" t="e">
        <f t="shared" si="4"/>
        <v>#DIV/0!</v>
      </c>
    </row>
    <row r="276" spans="42:42" x14ac:dyDescent="0.2">
      <c r="AP276" t="e">
        <f t="shared" si="4"/>
        <v>#DIV/0!</v>
      </c>
    </row>
    <row r="277" spans="42:42" x14ac:dyDescent="0.2">
      <c r="AP277" t="e">
        <f t="shared" si="4"/>
        <v>#DIV/0!</v>
      </c>
    </row>
    <row r="278" spans="42:42" x14ac:dyDescent="0.2">
      <c r="AP278" t="e">
        <f t="shared" si="4"/>
        <v>#DIV/0!</v>
      </c>
    </row>
    <row r="279" spans="42:42" x14ac:dyDescent="0.2">
      <c r="AP279" t="e">
        <f t="shared" si="4"/>
        <v>#DIV/0!</v>
      </c>
    </row>
    <row r="280" spans="42:42" x14ac:dyDescent="0.2">
      <c r="AP280" t="e">
        <f t="shared" si="4"/>
        <v>#DIV/0!</v>
      </c>
    </row>
    <row r="281" spans="42:42" x14ac:dyDescent="0.2">
      <c r="AP281" t="e">
        <f t="shared" si="4"/>
        <v>#DIV/0!</v>
      </c>
    </row>
    <row r="282" spans="42:42" x14ac:dyDescent="0.2">
      <c r="AP282" t="e">
        <f t="shared" si="4"/>
        <v>#DIV/0!</v>
      </c>
    </row>
    <row r="283" spans="42:42" x14ac:dyDescent="0.2">
      <c r="AP283" t="e">
        <f t="shared" si="4"/>
        <v>#DIV/0!</v>
      </c>
    </row>
    <row r="284" spans="42:42" x14ac:dyDescent="0.2">
      <c r="AP284" t="e">
        <f t="shared" si="4"/>
        <v>#DIV/0!</v>
      </c>
    </row>
    <row r="285" spans="42:42" x14ac:dyDescent="0.2">
      <c r="AP285" t="e">
        <f t="shared" si="4"/>
        <v>#DIV/0!</v>
      </c>
    </row>
    <row r="286" spans="42:42" x14ac:dyDescent="0.2">
      <c r="AP286" t="e">
        <f t="shared" si="4"/>
        <v>#DIV/0!</v>
      </c>
    </row>
    <row r="287" spans="42:42" x14ac:dyDescent="0.2">
      <c r="AP287" t="e">
        <f t="shared" si="4"/>
        <v>#DIV/0!</v>
      </c>
    </row>
    <row r="288" spans="42:42" x14ac:dyDescent="0.2">
      <c r="AP288" t="e">
        <f t="shared" si="4"/>
        <v>#DIV/0!</v>
      </c>
    </row>
    <row r="289" spans="42:42" x14ac:dyDescent="0.2">
      <c r="AP289" t="e">
        <f t="shared" si="4"/>
        <v>#DIV/0!</v>
      </c>
    </row>
    <row r="290" spans="42:42" x14ac:dyDescent="0.2">
      <c r="AP290" t="e">
        <f t="shared" si="4"/>
        <v>#DIV/0!</v>
      </c>
    </row>
    <row r="291" spans="42:42" x14ac:dyDescent="0.2">
      <c r="AP291" t="e">
        <f t="shared" si="4"/>
        <v>#DIV/0!</v>
      </c>
    </row>
    <row r="292" spans="42:42" x14ac:dyDescent="0.2">
      <c r="AP292" t="e">
        <f t="shared" si="4"/>
        <v>#DIV/0!</v>
      </c>
    </row>
    <row r="293" spans="42:42" x14ac:dyDescent="0.2">
      <c r="AP293" t="e">
        <f t="shared" si="4"/>
        <v>#DIV/0!</v>
      </c>
    </row>
    <row r="294" spans="42:42" x14ac:dyDescent="0.2">
      <c r="AP294" t="e">
        <f t="shared" si="4"/>
        <v>#DIV/0!</v>
      </c>
    </row>
    <row r="295" spans="42:42" x14ac:dyDescent="0.2">
      <c r="AP295" t="e">
        <f t="shared" si="4"/>
        <v>#DIV/0!</v>
      </c>
    </row>
    <row r="296" spans="42:42" x14ac:dyDescent="0.2">
      <c r="AP296" t="e">
        <f t="shared" si="4"/>
        <v>#DIV/0!</v>
      </c>
    </row>
    <row r="297" spans="42:42" x14ac:dyDescent="0.2">
      <c r="AP297" t="e">
        <f t="shared" si="4"/>
        <v>#DIV/0!</v>
      </c>
    </row>
    <row r="298" spans="42:42" x14ac:dyDescent="0.2">
      <c r="AP298" t="e">
        <f t="shared" si="4"/>
        <v>#DIV/0!</v>
      </c>
    </row>
    <row r="299" spans="42:42" x14ac:dyDescent="0.2">
      <c r="AP299" t="e">
        <f t="shared" si="4"/>
        <v>#DIV/0!</v>
      </c>
    </row>
    <row r="300" spans="42:42" x14ac:dyDescent="0.2">
      <c r="AP300" t="e">
        <f t="shared" si="4"/>
        <v>#DIV/0!</v>
      </c>
    </row>
    <row r="301" spans="42:42" x14ac:dyDescent="0.2">
      <c r="AP301" t="e">
        <f t="shared" si="4"/>
        <v>#DIV/0!</v>
      </c>
    </row>
    <row r="302" spans="42:42" x14ac:dyDescent="0.2">
      <c r="AP302" t="e">
        <f t="shared" si="4"/>
        <v>#DIV/0!</v>
      </c>
    </row>
    <row r="303" spans="42:42" x14ac:dyDescent="0.2">
      <c r="AP303" t="e">
        <f t="shared" si="4"/>
        <v>#DIV/0!</v>
      </c>
    </row>
    <row r="304" spans="42:42" x14ac:dyDescent="0.2">
      <c r="AP304" t="e">
        <f t="shared" si="4"/>
        <v>#DIV/0!</v>
      </c>
    </row>
    <row r="305" spans="42:42" x14ac:dyDescent="0.2">
      <c r="AP305" t="e">
        <f t="shared" si="4"/>
        <v>#DIV/0!</v>
      </c>
    </row>
    <row r="306" spans="42:42" x14ac:dyDescent="0.2">
      <c r="AP306" t="e">
        <f t="shared" si="4"/>
        <v>#DIV/0!</v>
      </c>
    </row>
    <row r="307" spans="42:42" x14ac:dyDescent="0.2">
      <c r="AP307" t="e">
        <f t="shared" si="4"/>
        <v>#DIV/0!</v>
      </c>
    </row>
    <row r="308" spans="42:42" x14ac:dyDescent="0.2">
      <c r="AP308" t="e">
        <f t="shared" si="4"/>
        <v>#DIV/0!</v>
      </c>
    </row>
    <row r="309" spans="42:42" x14ac:dyDescent="0.2">
      <c r="AP309" t="e">
        <f t="shared" si="4"/>
        <v>#DIV/0!</v>
      </c>
    </row>
    <row r="310" spans="42:42" x14ac:dyDescent="0.2">
      <c r="AP310" t="e">
        <f t="shared" si="4"/>
        <v>#DIV/0!</v>
      </c>
    </row>
    <row r="311" spans="42:42" x14ac:dyDescent="0.2">
      <c r="AP311" t="e">
        <f t="shared" si="4"/>
        <v>#DIV/0!</v>
      </c>
    </row>
    <row r="312" spans="42:42" x14ac:dyDescent="0.2">
      <c r="AP312" t="e">
        <f t="shared" si="4"/>
        <v>#DIV/0!</v>
      </c>
    </row>
    <row r="313" spans="42:42" x14ac:dyDescent="0.2">
      <c r="AP313" t="e">
        <f t="shared" si="4"/>
        <v>#DIV/0!</v>
      </c>
    </row>
    <row r="314" spans="42:42" x14ac:dyDescent="0.2">
      <c r="AP314" t="e">
        <f t="shared" si="4"/>
        <v>#DIV/0!</v>
      </c>
    </row>
    <row r="315" spans="42:42" x14ac:dyDescent="0.2">
      <c r="AP315" t="e">
        <f t="shared" si="4"/>
        <v>#DIV/0!</v>
      </c>
    </row>
    <row r="316" spans="42:42" x14ac:dyDescent="0.2">
      <c r="AP316" t="e">
        <f t="shared" si="4"/>
        <v>#DIV/0!</v>
      </c>
    </row>
    <row r="317" spans="42:42" x14ac:dyDescent="0.2">
      <c r="AP317" t="e">
        <f t="shared" si="4"/>
        <v>#DIV/0!</v>
      </c>
    </row>
    <row r="318" spans="42:42" x14ac:dyDescent="0.2">
      <c r="AP318" t="e">
        <f t="shared" si="4"/>
        <v>#DIV/0!</v>
      </c>
    </row>
    <row r="319" spans="42:42" x14ac:dyDescent="0.2">
      <c r="AP319" t="e">
        <f t="shared" si="4"/>
        <v>#DIV/0!</v>
      </c>
    </row>
    <row r="320" spans="42:42" x14ac:dyDescent="0.2">
      <c r="AP320" t="e">
        <f t="shared" si="4"/>
        <v>#DIV/0!</v>
      </c>
    </row>
    <row r="321" spans="42:42" x14ac:dyDescent="0.2">
      <c r="AP321" t="e">
        <f t="shared" si="4"/>
        <v>#DIV/0!</v>
      </c>
    </row>
    <row r="322" spans="42:42" x14ac:dyDescent="0.2">
      <c r="AP322" t="e">
        <f t="shared" si="4"/>
        <v>#DIV/0!</v>
      </c>
    </row>
    <row r="323" spans="42:42" x14ac:dyDescent="0.2">
      <c r="AP323" t="e">
        <f t="shared" ref="AP323:AP386" si="5">(G323+I323)/C323</f>
        <v>#DIV/0!</v>
      </c>
    </row>
    <row r="324" spans="42:42" x14ac:dyDescent="0.2">
      <c r="AP324" t="e">
        <f t="shared" si="5"/>
        <v>#DIV/0!</v>
      </c>
    </row>
    <row r="325" spans="42:42" x14ac:dyDescent="0.2">
      <c r="AP325" t="e">
        <f t="shared" si="5"/>
        <v>#DIV/0!</v>
      </c>
    </row>
    <row r="326" spans="42:42" x14ac:dyDescent="0.2">
      <c r="AP326" t="e">
        <f t="shared" si="5"/>
        <v>#DIV/0!</v>
      </c>
    </row>
    <row r="327" spans="42:42" x14ac:dyDescent="0.2">
      <c r="AP327" t="e">
        <f t="shared" si="5"/>
        <v>#DIV/0!</v>
      </c>
    </row>
    <row r="328" spans="42:42" x14ac:dyDescent="0.2">
      <c r="AP328" t="e">
        <f t="shared" si="5"/>
        <v>#DIV/0!</v>
      </c>
    </row>
    <row r="329" spans="42:42" x14ac:dyDescent="0.2">
      <c r="AP329" t="e">
        <f t="shared" si="5"/>
        <v>#DIV/0!</v>
      </c>
    </row>
    <row r="330" spans="42:42" x14ac:dyDescent="0.2">
      <c r="AP330" t="e">
        <f t="shared" si="5"/>
        <v>#DIV/0!</v>
      </c>
    </row>
    <row r="331" spans="42:42" x14ac:dyDescent="0.2">
      <c r="AP331" t="e">
        <f t="shared" si="5"/>
        <v>#DIV/0!</v>
      </c>
    </row>
    <row r="332" spans="42:42" x14ac:dyDescent="0.2">
      <c r="AP332" t="e">
        <f t="shared" si="5"/>
        <v>#DIV/0!</v>
      </c>
    </row>
    <row r="333" spans="42:42" x14ac:dyDescent="0.2">
      <c r="AP333" t="e">
        <f t="shared" si="5"/>
        <v>#DIV/0!</v>
      </c>
    </row>
    <row r="334" spans="42:42" x14ac:dyDescent="0.2">
      <c r="AP334" t="e">
        <f t="shared" si="5"/>
        <v>#DIV/0!</v>
      </c>
    </row>
    <row r="335" spans="42:42" x14ac:dyDescent="0.2">
      <c r="AP335" t="e">
        <f t="shared" si="5"/>
        <v>#DIV/0!</v>
      </c>
    </row>
    <row r="336" spans="42:42" x14ac:dyDescent="0.2">
      <c r="AP336" t="e">
        <f t="shared" si="5"/>
        <v>#DIV/0!</v>
      </c>
    </row>
    <row r="337" spans="42:42" x14ac:dyDescent="0.2">
      <c r="AP337" t="e">
        <f t="shared" si="5"/>
        <v>#DIV/0!</v>
      </c>
    </row>
    <row r="338" spans="42:42" x14ac:dyDescent="0.2">
      <c r="AP338" t="e">
        <f t="shared" si="5"/>
        <v>#DIV/0!</v>
      </c>
    </row>
    <row r="339" spans="42:42" x14ac:dyDescent="0.2">
      <c r="AP339" t="e">
        <f t="shared" si="5"/>
        <v>#DIV/0!</v>
      </c>
    </row>
    <row r="340" spans="42:42" x14ac:dyDescent="0.2">
      <c r="AP340" t="e">
        <f t="shared" si="5"/>
        <v>#DIV/0!</v>
      </c>
    </row>
    <row r="341" spans="42:42" x14ac:dyDescent="0.2">
      <c r="AP341" t="e">
        <f t="shared" si="5"/>
        <v>#DIV/0!</v>
      </c>
    </row>
    <row r="342" spans="42:42" x14ac:dyDescent="0.2">
      <c r="AP342" t="e">
        <f t="shared" si="5"/>
        <v>#DIV/0!</v>
      </c>
    </row>
    <row r="343" spans="42:42" x14ac:dyDescent="0.2">
      <c r="AP343" t="e">
        <f t="shared" si="5"/>
        <v>#DIV/0!</v>
      </c>
    </row>
    <row r="344" spans="42:42" x14ac:dyDescent="0.2">
      <c r="AP344" t="e">
        <f t="shared" si="5"/>
        <v>#DIV/0!</v>
      </c>
    </row>
    <row r="345" spans="42:42" x14ac:dyDescent="0.2">
      <c r="AP345" t="e">
        <f t="shared" si="5"/>
        <v>#DIV/0!</v>
      </c>
    </row>
    <row r="346" spans="42:42" x14ac:dyDescent="0.2">
      <c r="AP346" t="e">
        <f t="shared" si="5"/>
        <v>#DIV/0!</v>
      </c>
    </row>
    <row r="347" spans="42:42" x14ac:dyDescent="0.2">
      <c r="AP347" t="e">
        <f t="shared" si="5"/>
        <v>#DIV/0!</v>
      </c>
    </row>
    <row r="348" spans="42:42" x14ac:dyDescent="0.2">
      <c r="AP348" t="e">
        <f t="shared" si="5"/>
        <v>#DIV/0!</v>
      </c>
    </row>
    <row r="349" spans="42:42" x14ac:dyDescent="0.2">
      <c r="AP349" t="e">
        <f t="shared" si="5"/>
        <v>#DIV/0!</v>
      </c>
    </row>
    <row r="350" spans="42:42" x14ac:dyDescent="0.2">
      <c r="AP350" t="e">
        <f t="shared" si="5"/>
        <v>#DIV/0!</v>
      </c>
    </row>
    <row r="351" spans="42:42" x14ac:dyDescent="0.2">
      <c r="AP351" t="e">
        <f t="shared" si="5"/>
        <v>#DIV/0!</v>
      </c>
    </row>
    <row r="352" spans="42:42" x14ac:dyDescent="0.2">
      <c r="AP352" t="e">
        <f t="shared" si="5"/>
        <v>#DIV/0!</v>
      </c>
    </row>
    <row r="353" spans="42:42" x14ac:dyDescent="0.2">
      <c r="AP353" t="e">
        <f t="shared" si="5"/>
        <v>#DIV/0!</v>
      </c>
    </row>
    <row r="354" spans="42:42" x14ac:dyDescent="0.2">
      <c r="AP354" t="e">
        <f t="shared" si="5"/>
        <v>#DIV/0!</v>
      </c>
    </row>
    <row r="355" spans="42:42" x14ac:dyDescent="0.2">
      <c r="AP355" t="e">
        <f t="shared" si="5"/>
        <v>#DIV/0!</v>
      </c>
    </row>
    <row r="356" spans="42:42" x14ac:dyDescent="0.2">
      <c r="AP356" t="e">
        <f t="shared" si="5"/>
        <v>#DIV/0!</v>
      </c>
    </row>
    <row r="357" spans="42:42" x14ac:dyDescent="0.2">
      <c r="AP357" t="e">
        <f t="shared" si="5"/>
        <v>#DIV/0!</v>
      </c>
    </row>
    <row r="358" spans="42:42" x14ac:dyDescent="0.2">
      <c r="AP358" t="e">
        <f t="shared" si="5"/>
        <v>#DIV/0!</v>
      </c>
    </row>
    <row r="359" spans="42:42" x14ac:dyDescent="0.2">
      <c r="AP359" t="e">
        <f t="shared" si="5"/>
        <v>#DIV/0!</v>
      </c>
    </row>
    <row r="360" spans="42:42" x14ac:dyDescent="0.2">
      <c r="AP360" t="e">
        <f t="shared" si="5"/>
        <v>#DIV/0!</v>
      </c>
    </row>
    <row r="361" spans="42:42" x14ac:dyDescent="0.2">
      <c r="AP361" t="e">
        <f t="shared" si="5"/>
        <v>#DIV/0!</v>
      </c>
    </row>
    <row r="362" spans="42:42" x14ac:dyDescent="0.2">
      <c r="AP362" t="e">
        <f t="shared" si="5"/>
        <v>#DIV/0!</v>
      </c>
    </row>
    <row r="363" spans="42:42" x14ac:dyDescent="0.2">
      <c r="AP363" t="e">
        <f t="shared" si="5"/>
        <v>#DIV/0!</v>
      </c>
    </row>
    <row r="364" spans="42:42" x14ac:dyDescent="0.2">
      <c r="AP364" t="e">
        <f t="shared" si="5"/>
        <v>#DIV/0!</v>
      </c>
    </row>
    <row r="365" spans="42:42" x14ac:dyDescent="0.2">
      <c r="AP365" t="e">
        <f t="shared" si="5"/>
        <v>#DIV/0!</v>
      </c>
    </row>
    <row r="366" spans="42:42" x14ac:dyDescent="0.2">
      <c r="AP366" t="e">
        <f t="shared" si="5"/>
        <v>#DIV/0!</v>
      </c>
    </row>
    <row r="367" spans="42:42" x14ac:dyDescent="0.2">
      <c r="AP367" t="e">
        <f t="shared" si="5"/>
        <v>#DIV/0!</v>
      </c>
    </row>
    <row r="368" spans="42:42" x14ac:dyDescent="0.2">
      <c r="AP368" t="e">
        <f t="shared" si="5"/>
        <v>#DIV/0!</v>
      </c>
    </row>
    <row r="369" spans="42:42" x14ac:dyDescent="0.2">
      <c r="AP369" t="e">
        <f t="shared" si="5"/>
        <v>#DIV/0!</v>
      </c>
    </row>
    <row r="370" spans="42:42" x14ac:dyDescent="0.2">
      <c r="AP370" t="e">
        <f t="shared" si="5"/>
        <v>#DIV/0!</v>
      </c>
    </row>
    <row r="371" spans="42:42" x14ac:dyDescent="0.2">
      <c r="AP371" t="e">
        <f t="shared" si="5"/>
        <v>#DIV/0!</v>
      </c>
    </row>
    <row r="372" spans="42:42" x14ac:dyDescent="0.2">
      <c r="AP372" t="e">
        <f t="shared" si="5"/>
        <v>#DIV/0!</v>
      </c>
    </row>
    <row r="373" spans="42:42" x14ac:dyDescent="0.2">
      <c r="AP373" t="e">
        <f t="shared" si="5"/>
        <v>#DIV/0!</v>
      </c>
    </row>
    <row r="374" spans="42:42" x14ac:dyDescent="0.2">
      <c r="AP374" t="e">
        <f t="shared" si="5"/>
        <v>#DIV/0!</v>
      </c>
    </row>
    <row r="375" spans="42:42" x14ac:dyDescent="0.2">
      <c r="AP375" t="e">
        <f t="shared" si="5"/>
        <v>#DIV/0!</v>
      </c>
    </row>
    <row r="376" spans="42:42" x14ac:dyDescent="0.2">
      <c r="AP376" t="e">
        <f t="shared" si="5"/>
        <v>#DIV/0!</v>
      </c>
    </row>
    <row r="377" spans="42:42" x14ac:dyDescent="0.2">
      <c r="AP377" t="e">
        <f t="shared" si="5"/>
        <v>#DIV/0!</v>
      </c>
    </row>
    <row r="378" spans="42:42" x14ac:dyDescent="0.2">
      <c r="AP378" t="e">
        <f t="shared" si="5"/>
        <v>#DIV/0!</v>
      </c>
    </row>
    <row r="379" spans="42:42" x14ac:dyDescent="0.2">
      <c r="AP379" t="e">
        <f t="shared" si="5"/>
        <v>#DIV/0!</v>
      </c>
    </row>
    <row r="380" spans="42:42" x14ac:dyDescent="0.2">
      <c r="AP380" t="e">
        <f t="shared" si="5"/>
        <v>#DIV/0!</v>
      </c>
    </row>
    <row r="381" spans="42:42" x14ac:dyDescent="0.2">
      <c r="AP381" t="e">
        <f t="shared" si="5"/>
        <v>#DIV/0!</v>
      </c>
    </row>
    <row r="382" spans="42:42" x14ac:dyDescent="0.2">
      <c r="AP382" t="e">
        <f t="shared" si="5"/>
        <v>#DIV/0!</v>
      </c>
    </row>
    <row r="383" spans="42:42" x14ac:dyDescent="0.2">
      <c r="AP383" t="e">
        <f t="shared" si="5"/>
        <v>#DIV/0!</v>
      </c>
    </row>
    <row r="384" spans="42:42" x14ac:dyDescent="0.2">
      <c r="AP384" t="e">
        <f t="shared" si="5"/>
        <v>#DIV/0!</v>
      </c>
    </row>
    <row r="385" spans="42:42" x14ac:dyDescent="0.2">
      <c r="AP385" t="e">
        <f t="shared" si="5"/>
        <v>#DIV/0!</v>
      </c>
    </row>
    <row r="386" spans="42:42" x14ac:dyDescent="0.2">
      <c r="AP386" t="e">
        <f t="shared" si="5"/>
        <v>#DIV/0!</v>
      </c>
    </row>
    <row r="387" spans="42:42" x14ac:dyDescent="0.2">
      <c r="AP387" t="e">
        <f t="shared" ref="AP387:AP450" si="6">(G387+I387)/C387</f>
        <v>#DIV/0!</v>
      </c>
    </row>
    <row r="388" spans="42:42" x14ac:dyDescent="0.2">
      <c r="AP388" t="e">
        <f t="shared" si="6"/>
        <v>#DIV/0!</v>
      </c>
    </row>
    <row r="389" spans="42:42" x14ac:dyDescent="0.2">
      <c r="AP389" t="e">
        <f t="shared" si="6"/>
        <v>#DIV/0!</v>
      </c>
    </row>
    <row r="390" spans="42:42" x14ac:dyDescent="0.2">
      <c r="AP390" t="e">
        <f t="shared" si="6"/>
        <v>#DIV/0!</v>
      </c>
    </row>
    <row r="391" spans="42:42" x14ac:dyDescent="0.2">
      <c r="AP391" t="e">
        <f t="shared" si="6"/>
        <v>#DIV/0!</v>
      </c>
    </row>
    <row r="392" spans="42:42" x14ac:dyDescent="0.2">
      <c r="AP392" t="e">
        <f t="shared" si="6"/>
        <v>#DIV/0!</v>
      </c>
    </row>
    <row r="393" spans="42:42" x14ac:dyDescent="0.2">
      <c r="AP393" t="e">
        <f t="shared" si="6"/>
        <v>#DIV/0!</v>
      </c>
    </row>
    <row r="394" spans="42:42" x14ac:dyDescent="0.2">
      <c r="AP394" t="e">
        <f t="shared" si="6"/>
        <v>#DIV/0!</v>
      </c>
    </row>
    <row r="395" spans="42:42" x14ac:dyDescent="0.2">
      <c r="AP395" t="e">
        <f t="shared" si="6"/>
        <v>#DIV/0!</v>
      </c>
    </row>
    <row r="396" spans="42:42" x14ac:dyDescent="0.2">
      <c r="AP396" t="e">
        <f t="shared" si="6"/>
        <v>#DIV/0!</v>
      </c>
    </row>
    <row r="397" spans="42:42" x14ac:dyDescent="0.2">
      <c r="AP397" t="e">
        <f t="shared" si="6"/>
        <v>#DIV/0!</v>
      </c>
    </row>
    <row r="398" spans="42:42" x14ac:dyDescent="0.2">
      <c r="AP398" t="e">
        <f t="shared" si="6"/>
        <v>#DIV/0!</v>
      </c>
    </row>
    <row r="399" spans="42:42" x14ac:dyDescent="0.2">
      <c r="AP399" t="e">
        <f t="shared" si="6"/>
        <v>#DIV/0!</v>
      </c>
    </row>
    <row r="400" spans="42:42" x14ac:dyDescent="0.2">
      <c r="AP400" t="e">
        <f t="shared" si="6"/>
        <v>#DIV/0!</v>
      </c>
    </row>
    <row r="401" spans="42:42" x14ac:dyDescent="0.2">
      <c r="AP401" t="e">
        <f t="shared" si="6"/>
        <v>#DIV/0!</v>
      </c>
    </row>
    <row r="402" spans="42:42" x14ac:dyDescent="0.2">
      <c r="AP402" t="e">
        <f t="shared" si="6"/>
        <v>#DIV/0!</v>
      </c>
    </row>
    <row r="403" spans="42:42" x14ac:dyDescent="0.2">
      <c r="AP403" t="e">
        <f t="shared" si="6"/>
        <v>#DIV/0!</v>
      </c>
    </row>
    <row r="404" spans="42:42" x14ac:dyDescent="0.2">
      <c r="AP404" t="e">
        <f t="shared" si="6"/>
        <v>#DIV/0!</v>
      </c>
    </row>
    <row r="405" spans="42:42" x14ac:dyDescent="0.2">
      <c r="AP405" t="e">
        <f t="shared" si="6"/>
        <v>#DIV/0!</v>
      </c>
    </row>
    <row r="406" spans="42:42" x14ac:dyDescent="0.2">
      <c r="AP406" t="e">
        <f t="shared" si="6"/>
        <v>#DIV/0!</v>
      </c>
    </row>
    <row r="407" spans="42:42" x14ac:dyDescent="0.2">
      <c r="AP407" t="e">
        <f t="shared" si="6"/>
        <v>#DIV/0!</v>
      </c>
    </row>
    <row r="408" spans="42:42" x14ac:dyDescent="0.2">
      <c r="AP408" t="e">
        <f t="shared" si="6"/>
        <v>#DIV/0!</v>
      </c>
    </row>
    <row r="409" spans="42:42" x14ac:dyDescent="0.2">
      <c r="AP409" t="e">
        <f t="shared" si="6"/>
        <v>#DIV/0!</v>
      </c>
    </row>
    <row r="410" spans="42:42" x14ac:dyDescent="0.2">
      <c r="AP410" t="e">
        <f t="shared" si="6"/>
        <v>#DIV/0!</v>
      </c>
    </row>
    <row r="411" spans="42:42" x14ac:dyDescent="0.2">
      <c r="AP411" t="e">
        <f t="shared" si="6"/>
        <v>#DIV/0!</v>
      </c>
    </row>
    <row r="412" spans="42:42" x14ac:dyDescent="0.2">
      <c r="AP412" t="e">
        <f t="shared" si="6"/>
        <v>#DIV/0!</v>
      </c>
    </row>
    <row r="413" spans="42:42" x14ac:dyDescent="0.2">
      <c r="AP413" t="e">
        <f t="shared" si="6"/>
        <v>#DIV/0!</v>
      </c>
    </row>
    <row r="414" spans="42:42" x14ac:dyDescent="0.2">
      <c r="AP414" t="e">
        <f t="shared" si="6"/>
        <v>#DIV/0!</v>
      </c>
    </row>
    <row r="415" spans="42:42" x14ac:dyDescent="0.2">
      <c r="AP415" t="e">
        <f t="shared" si="6"/>
        <v>#DIV/0!</v>
      </c>
    </row>
    <row r="416" spans="42:42" x14ac:dyDescent="0.2">
      <c r="AP416" t="e">
        <f t="shared" si="6"/>
        <v>#DIV/0!</v>
      </c>
    </row>
    <row r="417" spans="42:42" x14ac:dyDescent="0.2">
      <c r="AP417" t="e">
        <f t="shared" si="6"/>
        <v>#DIV/0!</v>
      </c>
    </row>
    <row r="418" spans="42:42" x14ac:dyDescent="0.2">
      <c r="AP418" t="e">
        <f t="shared" si="6"/>
        <v>#DIV/0!</v>
      </c>
    </row>
    <row r="419" spans="42:42" x14ac:dyDescent="0.2">
      <c r="AP419" t="e">
        <f t="shared" si="6"/>
        <v>#DIV/0!</v>
      </c>
    </row>
    <row r="420" spans="42:42" x14ac:dyDescent="0.2">
      <c r="AP420" t="e">
        <f t="shared" si="6"/>
        <v>#DIV/0!</v>
      </c>
    </row>
    <row r="421" spans="42:42" x14ac:dyDescent="0.2">
      <c r="AP421" t="e">
        <f t="shared" si="6"/>
        <v>#DIV/0!</v>
      </c>
    </row>
    <row r="422" spans="42:42" x14ac:dyDescent="0.2">
      <c r="AP422" t="e">
        <f t="shared" si="6"/>
        <v>#DIV/0!</v>
      </c>
    </row>
    <row r="423" spans="42:42" x14ac:dyDescent="0.2">
      <c r="AP423" t="e">
        <f t="shared" si="6"/>
        <v>#DIV/0!</v>
      </c>
    </row>
    <row r="424" spans="42:42" x14ac:dyDescent="0.2">
      <c r="AP424" t="e">
        <f t="shared" si="6"/>
        <v>#DIV/0!</v>
      </c>
    </row>
    <row r="425" spans="42:42" x14ac:dyDescent="0.2">
      <c r="AP425" t="e">
        <f t="shared" si="6"/>
        <v>#DIV/0!</v>
      </c>
    </row>
    <row r="426" spans="42:42" x14ac:dyDescent="0.2">
      <c r="AP426" t="e">
        <f t="shared" si="6"/>
        <v>#DIV/0!</v>
      </c>
    </row>
    <row r="427" spans="42:42" x14ac:dyDescent="0.2">
      <c r="AP427" t="e">
        <f t="shared" si="6"/>
        <v>#DIV/0!</v>
      </c>
    </row>
    <row r="428" spans="42:42" x14ac:dyDescent="0.2">
      <c r="AP428" t="e">
        <f t="shared" si="6"/>
        <v>#DIV/0!</v>
      </c>
    </row>
    <row r="429" spans="42:42" x14ac:dyDescent="0.2">
      <c r="AP429" t="e">
        <f t="shared" si="6"/>
        <v>#DIV/0!</v>
      </c>
    </row>
    <row r="430" spans="42:42" x14ac:dyDescent="0.2">
      <c r="AP430" t="e">
        <f t="shared" si="6"/>
        <v>#DIV/0!</v>
      </c>
    </row>
    <row r="431" spans="42:42" x14ac:dyDescent="0.2">
      <c r="AP431" t="e">
        <f t="shared" si="6"/>
        <v>#DIV/0!</v>
      </c>
    </row>
    <row r="432" spans="42:42" x14ac:dyDescent="0.2">
      <c r="AP432" t="e">
        <f t="shared" si="6"/>
        <v>#DIV/0!</v>
      </c>
    </row>
    <row r="433" spans="42:42" x14ac:dyDescent="0.2">
      <c r="AP433" t="e">
        <f t="shared" si="6"/>
        <v>#DIV/0!</v>
      </c>
    </row>
    <row r="434" spans="42:42" x14ac:dyDescent="0.2">
      <c r="AP434" t="e">
        <f t="shared" si="6"/>
        <v>#DIV/0!</v>
      </c>
    </row>
    <row r="435" spans="42:42" x14ac:dyDescent="0.2">
      <c r="AP435" t="e">
        <f t="shared" si="6"/>
        <v>#DIV/0!</v>
      </c>
    </row>
    <row r="436" spans="42:42" x14ac:dyDescent="0.2">
      <c r="AP436" t="e">
        <f t="shared" si="6"/>
        <v>#DIV/0!</v>
      </c>
    </row>
    <row r="437" spans="42:42" x14ac:dyDescent="0.2">
      <c r="AP437" t="e">
        <f t="shared" si="6"/>
        <v>#DIV/0!</v>
      </c>
    </row>
    <row r="438" spans="42:42" x14ac:dyDescent="0.2">
      <c r="AP438" t="e">
        <f t="shared" si="6"/>
        <v>#DIV/0!</v>
      </c>
    </row>
    <row r="439" spans="42:42" x14ac:dyDescent="0.2">
      <c r="AP439" t="e">
        <f t="shared" si="6"/>
        <v>#DIV/0!</v>
      </c>
    </row>
    <row r="440" spans="42:42" x14ac:dyDescent="0.2">
      <c r="AP440" t="e">
        <f t="shared" si="6"/>
        <v>#DIV/0!</v>
      </c>
    </row>
    <row r="441" spans="42:42" x14ac:dyDescent="0.2">
      <c r="AP441" t="e">
        <f t="shared" si="6"/>
        <v>#DIV/0!</v>
      </c>
    </row>
    <row r="442" spans="42:42" x14ac:dyDescent="0.2">
      <c r="AP442" t="e">
        <f t="shared" si="6"/>
        <v>#DIV/0!</v>
      </c>
    </row>
    <row r="443" spans="42:42" x14ac:dyDescent="0.2">
      <c r="AP443" t="e">
        <f t="shared" si="6"/>
        <v>#DIV/0!</v>
      </c>
    </row>
    <row r="444" spans="42:42" x14ac:dyDescent="0.2">
      <c r="AP444" t="e">
        <f t="shared" si="6"/>
        <v>#DIV/0!</v>
      </c>
    </row>
    <row r="445" spans="42:42" x14ac:dyDescent="0.2">
      <c r="AP445" t="e">
        <f t="shared" si="6"/>
        <v>#DIV/0!</v>
      </c>
    </row>
    <row r="446" spans="42:42" x14ac:dyDescent="0.2">
      <c r="AP446" t="e">
        <f t="shared" si="6"/>
        <v>#DIV/0!</v>
      </c>
    </row>
    <row r="447" spans="42:42" x14ac:dyDescent="0.2">
      <c r="AP447" t="e">
        <f t="shared" si="6"/>
        <v>#DIV/0!</v>
      </c>
    </row>
    <row r="448" spans="42:42" x14ac:dyDescent="0.2">
      <c r="AP448" t="e">
        <f t="shared" si="6"/>
        <v>#DIV/0!</v>
      </c>
    </row>
    <row r="449" spans="42:42" x14ac:dyDescent="0.2">
      <c r="AP449" t="e">
        <f t="shared" si="6"/>
        <v>#DIV/0!</v>
      </c>
    </row>
    <row r="450" spans="42:42" x14ac:dyDescent="0.2">
      <c r="AP450" t="e">
        <f t="shared" si="6"/>
        <v>#DIV/0!</v>
      </c>
    </row>
    <row r="451" spans="42:42" x14ac:dyDescent="0.2">
      <c r="AP451" t="e">
        <f t="shared" ref="AP451:AP514" si="7">(G451+I451)/C451</f>
        <v>#DIV/0!</v>
      </c>
    </row>
    <row r="452" spans="42:42" x14ac:dyDescent="0.2">
      <c r="AP452" t="e">
        <f t="shared" si="7"/>
        <v>#DIV/0!</v>
      </c>
    </row>
    <row r="453" spans="42:42" x14ac:dyDescent="0.2">
      <c r="AP453" t="e">
        <f t="shared" si="7"/>
        <v>#DIV/0!</v>
      </c>
    </row>
    <row r="454" spans="42:42" x14ac:dyDescent="0.2">
      <c r="AP454" t="e">
        <f t="shared" si="7"/>
        <v>#DIV/0!</v>
      </c>
    </row>
    <row r="455" spans="42:42" x14ac:dyDescent="0.2">
      <c r="AP455" t="e">
        <f t="shared" si="7"/>
        <v>#DIV/0!</v>
      </c>
    </row>
    <row r="456" spans="42:42" x14ac:dyDescent="0.2">
      <c r="AP456" t="e">
        <f t="shared" si="7"/>
        <v>#DIV/0!</v>
      </c>
    </row>
    <row r="457" spans="42:42" x14ac:dyDescent="0.2">
      <c r="AP457" t="e">
        <f t="shared" si="7"/>
        <v>#DIV/0!</v>
      </c>
    </row>
    <row r="458" spans="42:42" x14ac:dyDescent="0.2">
      <c r="AP458" t="e">
        <f t="shared" si="7"/>
        <v>#DIV/0!</v>
      </c>
    </row>
    <row r="459" spans="42:42" x14ac:dyDescent="0.2">
      <c r="AP459" t="e">
        <f t="shared" si="7"/>
        <v>#DIV/0!</v>
      </c>
    </row>
    <row r="460" spans="42:42" x14ac:dyDescent="0.2">
      <c r="AP460" t="e">
        <f t="shared" si="7"/>
        <v>#DIV/0!</v>
      </c>
    </row>
    <row r="461" spans="42:42" x14ac:dyDescent="0.2">
      <c r="AP461" t="e">
        <f t="shared" si="7"/>
        <v>#DIV/0!</v>
      </c>
    </row>
    <row r="462" spans="42:42" x14ac:dyDescent="0.2">
      <c r="AP462" t="e">
        <f t="shared" si="7"/>
        <v>#DIV/0!</v>
      </c>
    </row>
    <row r="463" spans="42:42" x14ac:dyDescent="0.2">
      <c r="AP463" t="e">
        <f t="shared" si="7"/>
        <v>#DIV/0!</v>
      </c>
    </row>
    <row r="464" spans="42:42" x14ac:dyDescent="0.2">
      <c r="AP464" t="e">
        <f t="shared" si="7"/>
        <v>#DIV/0!</v>
      </c>
    </row>
    <row r="465" spans="42:42" x14ac:dyDescent="0.2">
      <c r="AP465" t="e">
        <f t="shared" si="7"/>
        <v>#DIV/0!</v>
      </c>
    </row>
    <row r="466" spans="42:42" x14ac:dyDescent="0.2">
      <c r="AP466" t="e">
        <f t="shared" si="7"/>
        <v>#DIV/0!</v>
      </c>
    </row>
    <row r="467" spans="42:42" x14ac:dyDescent="0.2">
      <c r="AP467" t="e">
        <f t="shared" si="7"/>
        <v>#DIV/0!</v>
      </c>
    </row>
    <row r="468" spans="42:42" x14ac:dyDescent="0.2">
      <c r="AP468" t="e">
        <f t="shared" si="7"/>
        <v>#DIV/0!</v>
      </c>
    </row>
    <row r="469" spans="42:42" x14ac:dyDescent="0.2">
      <c r="AP469" t="e">
        <f t="shared" si="7"/>
        <v>#DIV/0!</v>
      </c>
    </row>
    <row r="470" spans="42:42" x14ac:dyDescent="0.2">
      <c r="AP470" t="e">
        <f t="shared" si="7"/>
        <v>#DIV/0!</v>
      </c>
    </row>
    <row r="471" spans="42:42" x14ac:dyDescent="0.2">
      <c r="AP471" t="e">
        <f t="shared" si="7"/>
        <v>#DIV/0!</v>
      </c>
    </row>
    <row r="472" spans="42:42" x14ac:dyDescent="0.2">
      <c r="AP472" t="e">
        <f t="shared" si="7"/>
        <v>#DIV/0!</v>
      </c>
    </row>
    <row r="473" spans="42:42" x14ac:dyDescent="0.2">
      <c r="AP473" t="e">
        <f t="shared" si="7"/>
        <v>#DIV/0!</v>
      </c>
    </row>
    <row r="474" spans="42:42" x14ac:dyDescent="0.2">
      <c r="AP474" t="e">
        <f t="shared" si="7"/>
        <v>#DIV/0!</v>
      </c>
    </row>
    <row r="475" spans="42:42" x14ac:dyDescent="0.2">
      <c r="AP475" t="e">
        <f t="shared" si="7"/>
        <v>#DIV/0!</v>
      </c>
    </row>
    <row r="476" spans="42:42" x14ac:dyDescent="0.2">
      <c r="AP476" t="e">
        <f t="shared" si="7"/>
        <v>#DIV/0!</v>
      </c>
    </row>
    <row r="477" spans="42:42" x14ac:dyDescent="0.2">
      <c r="AP477" t="e">
        <f t="shared" si="7"/>
        <v>#DIV/0!</v>
      </c>
    </row>
    <row r="478" spans="42:42" x14ac:dyDescent="0.2">
      <c r="AP478" t="e">
        <f t="shared" si="7"/>
        <v>#DIV/0!</v>
      </c>
    </row>
    <row r="479" spans="42:42" x14ac:dyDescent="0.2">
      <c r="AP479" t="e">
        <f t="shared" si="7"/>
        <v>#DIV/0!</v>
      </c>
    </row>
    <row r="480" spans="42:42" x14ac:dyDescent="0.2">
      <c r="AP480" t="e">
        <f t="shared" si="7"/>
        <v>#DIV/0!</v>
      </c>
    </row>
    <row r="481" spans="42:42" x14ac:dyDescent="0.2">
      <c r="AP481" t="e">
        <f t="shared" si="7"/>
        <v>#DIV/0!</v>
      </c>
    </row>
    <row r="482" spans="42:42" x14ac:dyDescent="0.2">
      <c r="AP482" t="e">
        <f t="shared" si="7"/>
        <v>#DIV/0!</v>
      </c>
    </row>
    <row r="483" spans="42:42" x14ac:dyDescent="0.2">
      <c r="AP483" t="e">
        <f t="shared" si="7"/>
        <v>#DIV/0!</v>
      </c>
    </row>
    <row r="484" spans="42:42" x14ac:dyDescent="0.2">
      <c r="AP484" t="e">
        <f t="shared" si="7"/>
        <v>#DIV/0!</v>
      </c>
    </row>
    <row r="485" spans="42:42" x14ac:dyDescent="0.2">
      <c r="AP485" t="e">
        <f t="shared" si="7"/>
        <v>#DIV/0!</v>
      </c>
    </row>
    <row r="486" spans="42:42" x14ac:dyDescent="0.2">
      <c r="AP486" t="e">
        <f t="shared" si="7"/>
        <v>#DIV/0!</v>
      </c>
    </row>
    <row r="487" spans="42:42" x14ac:dyDescent="0.2">
      <c r="AP487" t="e">
        <f t="shared" si="7"/>
        <v>#DIV/0!</v>
      </c>
    </row>
    <row r="488" spans="42:42" x14ac:dyDescent="0.2">
      <c r="AP488" t="e">
        <f t="shared" si="7"/>
        <v>#DIV/0!</v>
      </c>
    </row>
    <row r="489" spans="42:42" x14ac:dyDescent="0.2">
      <c r="AP489" t="e">
        <f t="shared" si="7"/>
        <v>#DIV/0!</v>
      </c>
    </row>
    <row r="490" spans="42:42" x14ac:dyDescent="0.2">
      <c r="AP490" t="e">
        <f t="shared" si="7"/>
        <v>#DIV/0!</v>
      </c>
    </row>
    <row r="491" spans="42:42" x14ac:dyDescent="0.2">
      <c r="AP491" t="e">
        <f t="shared" si="7"/>
        <v>#DIV/0!</v>
      </c>
    </row>
    <row r="492" spans="42:42" x14ac:dyDescent="0.2">
      <c r="AP492" t="e">
        <f t="shared" si="7"/>
        <v>#DIV/0!</v>
      </c>
    </row>
    <row r="493" spans="42:42" x14ac:dyDescent="0.2">
      <c r="AP493" t="e">
        <f t="shared" si="7"/>
        <v>#DIV/0!</v>
      </c>
    </row>
    <row r="494" spans="42:42" x14ac:dyDescent="0.2">
      <c r="AP494" t="e">
        <f t="shared" si="7"/>
        <v>#DIV/0!</v>
      </c>
    </row>
    <row r="495" spans="42:42" x14ac:dyDescent="0.2">
      <c r="AP495" t="e">
        <f t="shared" si="7"/>
        <v>#DIV/0!</v>
      </c>
    </row>
    <row r="496" spans="42:42" x14ac:dyDescent="0.2">
      <c r="AP496" t="e">
        <f t="shared" si="7"/>
        <v>#DIV/0!</v>
      </c>
    </row>
    <row r="497" spans="42:42" x14ac:dyDescent="0.2">
      <c r="AP497" t="e">
        <f t="shared" si="7"/>
        <v>#DIV/0!</v>
      </c>
    </row>
    <row r="498" spans="42:42" x14ac:dyDescent="0.2">
      <c r="AP498" t="e">
        <f t="shared" si="7"/>
        <v>#DIV/0!</v>
      </c>
    </row>
    <row r="499" spans="42:42" x14ac:dyDescent="0.2">
      <c r="AP499" t="e">
        <f t="shared" si="7"/>
        <v>#DIV/0!</v>
      </c>
    </row>
    <row r="500" spans="42:42" x14ac:dyDescent="0.2">
      <c r="AP500" t="e">
        <f t="shared" si="7"/>
        <v>#DIV/0!</v>
      </c>
    </row>
    <row r="501" spans="42:42" x14ac:dyDescent="0.2">
      <c r="AP501" t="e">
        <f t="shared" si="7"/>
        <v>#DIV/0!</v>
      </c>
    </row>
    <row r="502" spans="42:42" x14ac:dyDescent="0.2">
      <c r="AP502" t="e">
        <f t="shared" si="7"/>
        <v>#DIV/0!</v>
      </c>
    </row>
    <row r="503" spans="42:42" x14ac:dyDescent="0.2">
      <c r="AP503" t="e">
        <f t="shared" si="7"/>
        <v>#DIV/0!</v>
      </c>
    </row>
    <row r="504" spans="42:42" x14ac:dyDescent="0.2">
      <c r="AP504" t="e">
        <f t="shared" si="7"/>
        <v>#DIV/0!</v>
      </c>
    </row>
    <row r="505" spans="42:42" x14ac:dyDescent="0.2">
      <c r="AP505" t="e">
        <f t="shared" si="7"/>
        <v>#DIV/0!</v>
      </c>
    </row>
    <row r="506" spans="42:42" x14ac:dyDescent="0.2">
      <c r="AP506" t="e">
        <f t="shared" si="7"/>
        <v>#DIV/0!</v>
      </c>
    </row>
    <row r="507" spans="42:42" x14ac:dyDescent="0.2">
      <c r="AP507" t="e">
        <f t="shared" si="7"/>
        <v>#DIV/0!</v>
      </c>
    </row>
    <row r="508" spans="42:42" x14ac:dyDescent="0.2">
      <c r="AP508" t="e">
        <f t="shared" si="7"/>
        <v>#DIV/0!</v>
      </c>
    </row>
    <row r="509" spans="42:42" x14ac:dyDescent="0.2">
      <c r="AP509" t="e">
        <f t="shared" si="7"/>
        <v>#DIV/0!</v>
      </c>
    </row>
    <row r="510" spans="42:42" x14ac:dyDescent="0.2">
      <c r="AP510" t="e">
        <f t="shared" si="7"/>
        <v>#DIV/0!</v>
      </c>
    </row>
    <row r="511" spans="42:42" x14ac:dyDescent="0.2">
      <c r="AP511" t="e">
        <f t="shared" si="7"/>
        <v>#DIV/0!</v>
      </c>
    </row>
    <row r="512" spans="42:42" x14ac:dyDescent="0.2">
      <c r="AP512" t="e">
        <f t="shared" si="7"/>
        <v>#DIV/0!</v>
      </c>
    </row>
    <row r="513" spans="42:42" x14ac:dyDescent="0.2">
      <c r="AP513" t="e">
        <f t="shared" si="7"/>
        <v>#DIV/0!</v>
      </c>
    </row>
    <row r="514" spans="42:42" x14ac:dyDescent="0.2">
      <c r="AP514" t="e">
        <f t="shared" si="7"/>
        <v>#DIV/0!</v>
      </c>
    </row>
    <row r="515" spans="42:42" x14ac:dyDescent="0.2">
      <c r="AP515" t="e">
        <f t="shared" ref="AP515:AP533" si="8">(G515+I515)/C515</f>
        <v>#DIV/0!</v>
      </c>
    </row>
    <row r="516" spans="42:42" x14ac:dyDescent="0.2">
      <c r="AP516" t="e">
        <f t="shared" si="8"/>
        <v>#DIV/0!</v>
      </c>
    </row>
    <row r="517" spans="42:42" x14ac:dyDescent="0.2">
      <c r="AP517" t="e">
        <f t="shared" si="8"/>
        <v>#DIV/0!</v>
      </c>
    </row>
    <row r="518" spans="42:42" x14ac:dyDescent="0.2">
      <c r="AP518" t="e">
        <f t="shared" si="8"/>
        <v>#DIV/0!</v>
      </c>
    </row>
    <row r="519" spans="42:42" x14ac:dyDescent="0.2">
      <c r="AP519" t="e">
        <f t="shared" si="8"/>
        <v>#DIV/0!</v>
      </c>
    </row>
    <row r="520" spans="42:42" x14ac:dyDescent="0.2">
      <c r="AP520" t="e">
        <f t="shared" si="8"/>
        <v>#DIV/0!</v>
      </c>
    </row>
    <row r="521" spans="42:42" x14ac:dyDescent="0.2">
      <c r="AP521" t="e">
        <f t="shared" si="8"/>
        <v>#DIV/0!</v>
      </c>
    </row>
    <row r="522" spans="42:42" x14ac:dyDescent="0.2">
      <c r="AP522" t="e">
        <f t="shared" si="8"/>
        <v>#DIV/0!</v>
      </c>
    </row>
    <row r="523" spans="42:42" x14ac:dyDescent="0.2">
      <c r="AP523" t="e">
        <f t="shared" si="8"/>
        <v>#DIV/0!</v>
      </c>
    </row>
    <row r="524" spans="42:42" x14ac:dyDescent="0.2">
      <c r="AP524" t="e">
        <f t="shared" si="8"/>
        <v>#DIV/0!</v>
      </c>
    </row>
    <row r="525" spans="42:42" x14ac:dyDescent="0.2">
      <c r="AP525" t="e">
        <f t="shared" si="8"/>
        <v>#DIV/0!</v>
      </c>
    </row>
    <row r="526" spans="42:42" x14ac:dyDescent="0.2">
      <c r="AP526" t="e">
        <f t="shared" si="8"/>
        <v>#DIV/0!</v>
      </c>
    </row>
    <row r="527" spans="42:42" x14ac:dyDescent="0.2">
      <c r="AP527" t="e">
        <f t="shared" si="8"/>
        <v>#DIV/0!</v>
      </c>
    </row>
    <row r="528" spans="42:42" x14ac:dyDescent="0.2">
      <c r="AP528" t="e">
        <f t="shared" si="8"/>
        <v>#DIV/0!</v>
      </c>
    </row>
    <row r="529" spans="42:42" x14ac:dyDescent="0.2">
      <c r="AP529" t="e">
        <f t="shared" si="8"/>
        <v>#DIV/0!</v>
      </c>
    </row>
    <row r="530" spans="42:42" x14ac:dyDescent="0.2">
      <c r="AP530" t="e">
        <f t="shared" si="8"/>
        <v>#DIV/0!</v>
      </c>
    </row>
    <row r="531" spans="42:42" x14ac:dyDescent="0.2">
      <c r="AP531" t="e">
        <f t="shared" si="8"/>
        <v>#DIV/0!</v>
      </c>
    </row>
    <row r="532" spans="42:42" x14ac:dyDescent="0.2">
      <c r="AP532" t="e">
        <f t="shared" si="8"/>
        <v>#DIV/0!</v>
      </c>
    </row>
    <row r="533" spans="42:42" x14ac:dyDescent="0.2">
      <c r="AP533" t="e">
        <f t="shared" si="8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Aleksandra Anchukova</cp:lastModifiedBy>
  <dcterms:created xsi:type="dcterms:W3CDTF">2025-12-12T21:18:47Z</dcterms:created>
  <dcterms:modified xsi:type="dcterms:W3CDTF">2025-12-12T21:44:34Z</dcterms:modified>
</cp:coreProperties>
</file>