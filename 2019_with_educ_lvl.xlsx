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amant_03/PycharmProjects/PythonProject/"/>
    </mc:Choice>
  </mc:AlternateContent>
  <xr:revisionPtr revIDLastSave="0" documentId="13_ncr:1_{2576EABA-199D-554E-A59D-6FBEA393CF3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33" i="1" l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<sst xmlns="http://schemas.openxmlformats.org/spreadsheetml/2006/main" count="270" uniqueCount="130">
  <si>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</si>
  <si>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</si>
  <si>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</si>
  <si>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</si>
  <si>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</si>
  <si>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</si>
  <si>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</si>
  <si>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</si>
  <si>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</si>
  <si>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</si>
  <si>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</si>
  <si>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</si>
  <si>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</si>
  <si>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</si>
  <si>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</si>
  <si>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</si>
  <si>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</si>
  <si>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</si>
  <si>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</si>
  <si>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</si>
  <si>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</si>
  <si>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calories_x</t>
  </si>
  <si>
    <t>food_share_x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</si>
  <si>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</si>
  <si>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</si>
  <si>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</si>
  <si>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</si>
  <si>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</si>
  <si>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</si>
  <si>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</si>
  <si>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</si>
  <si>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</si>
  <si>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</si>
  <si>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</si>
  <si>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</si>
  <si>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</si>
  <si>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calories_y</t>
  </si>
  <si>
    <t>food_share_y</t>
  </si>
  <si>
    <t>okrug</t>
  </si>
  <si>
    <t>educ</t>
  </si>
  <si>
    <t>educ_lvl</t>
  </si>
  <si>
    <t>Адыгея</t>
  </si>
  <si>
    <t>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</si>
  <si>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</si>
  <si>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</si>
  <si>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</si>
  <si>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</si>
  <si>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Башкортостан</t>
  </si>
  <si>
    <t>Белгородская область</t>
  </si>
  <si>
    <t>Брянская область</t>
  </si>
  <si>
    <t>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</si>
  <si>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</si>
  <si>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</si>
  <si>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</si>
  <si>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</si>
  <si>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</si>
  <si>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</si>
  <si>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</si>
  <si>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</si>
  <si>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</si>
  <si>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Калмыкия</t>
  </si>
  <si>
    <t>Калужская область</t>
  </si>
  <si>
    <t>Камчатский край</t>
  </si>
  <si>
    <t>Карелия</t>
  </si>
  <si>
    <t>Кемеровская область</t>
  </si>
  <si>
    <t>Кировская область</t>
  </si>
  <si>
    <t>Коми</t>
  </si>
  <si>
    <t>Костромская область</t>
  </si>
  <si>
    <t>Краснодарский край</t>
  </si>
  <si>
    <t>Красноярский край</t>
  </si>
  <si>
    <t>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</si>
  <si>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</si>
  <si>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</si>
  <si>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</si>
  <si>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</si>
  <si>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</si>
  <si>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Марий Эл</t>
  </si>
  <si>
    <t>Мордовия</t>
  </si>
  <si>
    <t>Москва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</si>
  <si>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</si>
  <si>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</si>
  <si>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</si>
  <si>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</si>
  <si>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</si>
  <si>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</si>
  <si>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</si>
  <si>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</si>
  <si>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</si>
  <si>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</si>
  <si>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</si>
  <si>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</si>
  <si>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</si>
  <si>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</si>
  <si>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</si>
  <si>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</si>
  <si>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</si>
  <si>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</si>
  <si>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</si>
  <si>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</si>
  <si>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</si>
  <si>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</si>
  <si>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</si>
  <si>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Татарстан</t>
  </si>
  <si>
    <t>Тверская область</t>
  </si>
  <si>
    <t>Томская область</t>
  </si>
  <si>
    <t>Тульская область</t>
  </si>
  <si>
    <t>Тюменская область</t>
  </si>
  <si>
    <t>Удмуртия</t>
  </si>
  <si>
    <t>Ульяновская область</t>
  </si>
  <si>
    <t>Хабаровский край</t>
  </si>
  <si>
    <t>Хакасия</t>
  </si>
  <si>
    <t>Ханты-Мансийский автономный округ - Югра</t>
  </si>
  <si>
    <t>Челябинская область</t>
  </si>
  <si>
    <t>Чувашия</t>
  </si>
  <si>
    <t>Чукотский автономный округ</t>
  </si>
  <si>
    <t>Ямало-Ненецкий автономный округ</t>
  </si>
  <si>
    <t>Ярославская область</t>
  </si>
  <si>
    <t>Ком</t>
  </si>
  <si>
    <t>Марий Э</t>
  </si>
  <si>
    <t>Удмуртская</t>
  </si>
  <si>
    <t>Ханты-Мансийский автономный округ — Югра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</si>
  <si>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</si>
  <si>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</si>
  <si>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</si>
  <si>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</si>
  <si>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</si>
  <si>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</si>
  <si>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</si>
  <si>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</si>
  <si>
    <t>fin_share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</si>
</sst>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33"/>
  <sheetViews>
    <sheetView tabSelected="1" topLeftCell="T1" workbookViewId="0">
      <selection activeCell="AP1" sqref="AP1:AP1048576"/>
    </sheetView>
  </sheetViews>
  <sheetFormatPr baseColWidth="10" defaultColWidth="8.83203125" defaultRowHeight="15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129</v>
      </c>
    </row>
    <row r="2" spans="1:42" x14ac:dyDescent="0.2">
      <c r="A2" t="s">
        <v>41</v>
      </c>
      <c r="B2">
        <v>2019</v>
      </c>
      <c r="C2">
        <v>103.5527681508717</v>
      </c>
      <c r="D2">
        <v>50.094118888869353</v>
      </c>
      <c r="E2">
        <v>3.1006456379853282</v>
      </c>
      <c r="F2">
        <v>1.6712699892686871</v>
      </c>
      <c r="G2">
        <v>11.544957162711331</v>
      </c>
      <c r="H2">
        <v>2.5948665622855942</v>
      </c>
      <c r="I2">
        <v>0.1319423675738437</v>
      </c>
      <c r="J2">
        <v>0.2720012</v>
      </c>
      <c r="K2">
        <v>0.39800000000000002</v>
      </c>
      <c r="L2">
        <v>13.2</v>
      </c>
      <c r="M2">
        <v>0.17402963090409709</v>
      </c>
      <c r="N2">
        <v>29</v>
      </c>
      <c r="O2">
        <v>6</v>
      </c>
      <c r="P2">
        <v>36.337268018690033</v>
      </c>
      <c r="Q2">
        <v>35.971556077334363</v>
      </c>
      <c r="R2">
        <v>22.838795769448581</v>
      </c>
      <c r="S2">
        <v>4.636248175394039</v>
      </c>
      <c r="T2">
        <v>0.21613195913299399</v>
      </c>
      <c r="U2" t="s">
        <v>41</v>
      </c>
      <c r="V2">
        <v>2808.1098476269158</v>
      </c>
      <c r="W2">
        <v>35.093496793564633</v>
      </c>
      <c r="AK2">
        <v>2808.1098476269158</v>
      </c>
      <c r="AL2">
        <v>35.093496793564633</v>
      </c>
      <c r="AM2" t="s">
        <v>122</v>
      </c>
      <c r="AN2">
        <v>12.70074704936785</v>
      </c>
      <c r="AO2">
        <v>1</v>
      </c>
      <c r="AP2">
        <f>(G2+I2)/C2</f>
        <v>0.11276279464854537</v>
      </c>
    </row>
    <row r="3" spans="1:42" x14ac:dyDescent="0.2">
      <c r="A3" t="s">
        <v>42</v>
      </c>
      <c r="B3">
        <v>2019</v>
      </c>
      <c r="C3">
        <v>195.0051629764331</v>
      </c>
      <c r="D3">
        <v>132.22702475487279</v>
      </c>
      <c r="E3">
        <v>5.117286376138825</v>
      </c>
      <c r="F3">
        <v>3.4267542697358202</v>
      </c>
      <c r="G3">
        <v>6.0767775716648549</v>
      </c>
      <c r="H3">
        <v>4.5690056929810936</v>
      </c>
      <c r="I3">
        <v>0.63966079701735312</v>
      </c>
      <c r="J3">
        <v>0.27028269999999999</v>
      </c>
      <c r="K3">
        <v>0.374</v>
      </c>
      <c r="L3">
        <v>23.4</v>
      </c>
      <c r="M3">
        <v>0.15714421162415851</v>
      </c>
      <c r="N3">
        <v>20</v>
      </c>
      <c r="O3">
        <v>1</v>
      </c>
      <c r="P3">
        <v>27.169255790333679</v>
      </c>
      <c r="Q3">
        <v>40.375606627123112</v>
      </c>
      <c r="R3">
        <v>20.797169158984641</v>
      </c>
      <c r="S3">
        <v>11.023085545321781</v>
      </c>
      <c r="T3">
        <v>0.63488287823679457</v>
      </c>
      <c r="U3" t="s">
        <v>42</v>
      </c>
      <c r="V3">
        <v>2675.529915945981</v>
      </c>
      <c r="W3">
        <v>29.70134661222372</v>
      </c>
      <c r="AK3">
        <v>2675.529915945981</v>
      </c>
      <c r="AL3">
        <v>29.70134661222372</v>
      </c>
      <c r="AM3" t="s">
        <v>123</v>
      </c>
      <c r="AN3">
        <v>12.78370468063776</v>
      </c>
      <c r="AO3">
        <v>1</v>
      </c>
      <c r="AP3">
        <f t="shared" ref="AP3:AP66" si="0">(G3+I3)/C3</f>
        <v>3.444236176194939E-2</v>
      </c>
    </row>
    <row r="4" spans="1:42" x14ac:dyDescent="0.2">
      <c r="A4" t="s">
        <v>43</v>
      </c>
      <c r="B4">
        <v>2019</v>
      </c>
      <c r="C4">
        <v>158.85542475972139</v>
      </c>
      <c r="D4">
        <v>92.514916540674278</v>
      </c>
      <c r="E4">
        <v>6.0013382984405519</v>
      </c>
      <c r="F4">
        <v>3.0006691492202759</v>
      </c>
      <c r="G4">
        <v>4.1966501386952144</v>
      </c>
      <c r="H4">
        <v>2.3919619789498769</v>
      </c>
      <c r="I4">
        <v>9.0020074476608203E-2</v>
      </c>
      <c r="J4">
        <v>0.28078500000000001</v>
      </c>
      <c r="K4">
        <v>0.38200000000000001</v>
      </c>
      <c r="L4">
        <v>16.899999999999999</v>
      </c>
      <c r="M4">
        <v>0.15795192738443159</v>
      </c>
      <c r="N4">
        <v>210</v>
      </c>
      <c r="O4">
        <v>8</v>
      </c>
      <c r="P4">
        <v>24.530816229999591</v>
      </c>
      <c r="Q4">
        <v>45.460466029662598</v>
      </c>
      <c r="R4">
        <v>22.45911087482877</v>
      </c>
      <c r="S4">
        <v>6.7755512032048948</v>
      </c>
      <c r="T4">
        <v>0.77405566230414991</v>
      </c>
      <c r="U4" t="s">
        <v>43</v>
      </c>
      <c r="V4">
        <v>2760.6447268241068</v>
      </c>
      <c r="W4">
        <v>33.959216144691773</v>
      </c>
      <c r="X4">
        <v>3.81</v>
      </c>
      <c r="AA4">
        <v>-3.41</v>
      </c>
      <c r="AD4">
        <v>763.96</v>
      </c>
      <c r="AF4">
        <v>64.540000000000006</v>
      </c>
      <c r="AH4">
        <v>4.18</v>
      </c>
      <c r="AI4">
        <v>15.1</v>
      </c>
      <c r="AK4">
        <v>2760.6447268241068</v>
      </c>
      <c r="AL4">
        <v>33.959216144691773</v>
      </c>
      <c r="AM4" t="s">
        <v>123</v>
      </c>
      <c r="AN4">
        <v>13.02364495218421</v>
      </c>
      <c r="AO4">
        <v>2</v>
      </c>
      <c r="AP4">
        <f t="shared" si="0"/>
        <v>2.6984726644719091E-2</v>
      </c>
    </row>
    <row r="5" spans="1:42" x14ac:dyDescent="0.2">
      <c r="A5" t="s">
        <v>44</v>
      </c>
      <c r="B5">
        <v>2019</v>
      </c>
      <c r="C5">
        <v>245.94235458160301</v>
      </c>
      <c r="D5">
        <v>100.0133636916063</v>
      </c>
      <c r="E5">
        <v>8.1316802698961421</v>
      </c>
      <c r="F5">
        <v>4.1099655317614614</v>
      </c>
      <c r="G5">
        <v>5.0302952367264506</v>
      </c>
      <c r="H5">
        <v>2.584487527641409</v>
      </c>
      <c r="I5">
        <v>0.17650158725355961</v>
      </c>
      <c r="J5">
        <v>0.50418549999999995</v>
      </c>
      <c r="K5">
        <v>0.4</v>
      </c>
      <c r="L5">
        <v>15.7</v>
      </c>
      <c r="M5">
        <v>0.16829277904406201</v>
      </c>
      <c r="N5">
        <v>66</v>
      </c>
      <c r="O5">
        <v>4</v>
      </c>
      <c r="P5">
        <v>26.75701130403024</v>
      </c>
      <c r="Q5">
        <v>45.765109507286667</v>
      </c>
      <c r="R5">
        <v>18.55865725426057</v>
      </c>
      <c r="S5">
        <v>8.4493514748079566</v>
      </c>
      <c r="T5">
        <v>0.46987045961456891</v>
      </c>
      <c r="U5" t="s">
        <v>44</v>
      </c>
      <c r="V5">
        <v>2569.1645344847798</v>
      </c>
      <c r="W5">
        <v>27.800069416007069</v>
      </c>
      <c r="X5">
        <v>2.29</v>
      </c>
      <c r="AA5">
        <v>-5.46</v>
      </c>
      <c r="AD5">
        <v>758.41</v>
      </c>
      <c r="AF5">
        <v>61.83</v>
      </c>
      <c r="AH5">
        <v>2.9</v>
      </c>
      <c r="AI5">
        <v>12.63</v>
      </c>
      <c r="AK5">
        <v>2569.1645344847798</v>
      </c>
      <c r="AL5">
        <v>27.800069416007069</v>
      </c>
      <c r="AM5" t="s">
        <v>124</v>
      </c>
      <c r="AN5">
        <v>13.15035984574466</v>
      </c>
      <c r="AO5">
        <v>3</v>
      </c>
      <c r="AP5">
        <f t="shared" si="0"/>
        <v>2.1170801722370309E-2</v>
      </c>
    </row>
    <row r="6" spans="1:42" x14ac:dyDescent="0.2">
      <c r="A6" t="s">
        <v>45</v>
      </c>
      <c r="B6">
        <v>2019</v>
      </c>
      <c r="C6">
        <v>174.0450244935426</v>
      </c>
      <c r="D6">
        <v>81.860236846649528</v>
      </c>
      <c r="E6">
        <v>7.4980232484163274</v>
      </c>
      <c r="F6">
        <v>3.5990511592398371</v>
      </c>
      <c r="G6">
        <v>8.0342455170909499</v>
      </c>
      <c r="H6">
        <v>4.5533450272200966</v>
      </c>
      <c r="I6">
        <v>0.32718646902180332</v>
      </c>
      <c r="J6">
        <v>0.54698969999999991</v>
      </c>
      <c r="K6">
        <v>0.375</v>
      </c>
      <c r="L6">
        <v>11.8</v>
      </c>
      <c r="M6">
        <v>0.13758565566771519</v>
      </c>
      <c r="N6">
        <v>161</v>
      </c>
      <c r="O6">
        <v>4</v>
      </c>
      <c r="P6">
        <v>27.907906688081749</v>
      </c>
      <c r="Q6">
        <v>53.543648530039412</v>
      </c>
      <c r="R6">
        <v>12.25260676279728</v>
      </c>
      <c r="S6">
        <v>5.5432875079172224</v>
      </c>
      <c r="T6">
        <v>0.75255051116431559</v>
      </c>
      <c r="U6" t="s">
        <v>45</v>
      </c>
      <c r="V6">
        <v>2752.5960860424379</v>
      </c>
      <c r="W6">
        <v>28.089253294430279</v>
      </c>
      <c r="AK6">
        <v>2752.5960860424379</v>
      </c>
      <c r="AL6">
        <v>28.089253294430279</v>
      </c>
      <c r="AM6" t="s">
        <v>125</v>
      </c>
      <c r="AN6">
        <v>13.18836529674536</v>
      </c>
      <c r="AO6">
        <v>3</v>
      </c>
      <c r="AP6">
        <f t="shared" si="0"/>
        <v>4.8041775456919074E-2</v>
      </c>
    </row>
    <row r="7" spans="1:42" x14ac:dyDescent="0.2">
      <c r="A7" t="s">
        <v>46</v>
      </c>
      <c r="B7">
        <v>2019</v>
      </c>
      <c r="C7">
        <v>129.2816535429188</v>
      </c>
      <c r="D7">
        <v>81.296563829734779</v>
      </c>
      <c r="E7">
        <v>7.6227855216381588</v>
      </c>
      <c r="F7">
        <v>3.382426175836855</v>
      </c>
      <c r="G7">
        <v>8.3229378787355834</v>
      </c>
      <c r="H7">
        <v>4.7137017844023807</v>
      </c>
      <c r="I7">
        <v>0.13805821125864709</v>
      </c>
      <c r="J7">
        <v>0.61066149999999997</v>
      </c>
      <c r="K7">
        <v>0.36299999999999999</v>
      </c>
      <c r="L7">
        <v>15.1</v>
      </c>
      <c r="M7">
        <v>0.16928132800849169</v>
      </c>
      <c r="N7">
        <v>81</v>
      </c>
      <c r="O7">
        <v>1</v>
      </c>
      <c r="P7">
        <v>33.858773252967907</v>
      </c>
      <c r="Q7">
        <v>45.740840585183577</v>
      </c>
      <c r="R7">
        <v>15.57158703002383</v>
      </c>
      <c r="S7">
        <v>4.3841608630000168</v>
      </c>
      <c r="T7">
        <v>0.4446382688246473</v>
      </c>
      <c r="U7" t="s">
        <v>46</v>
      </c>
      <c r="V7">
        <v>2827.7738382855391</v>
      </c>
      <c r="W7">
        <v>34.907076626258352</v>
      </c>
      <c r="AK7">
        <v>2827.7738382855391</v>
      </c>
      <c r="AL7">
        <v>34.907076626258352</v>
      </c>
      <c r="AM7" t="s">
        <v>122</v>
      </c>
      <c r="AN7">
        <v>13.20665010802645</v>
      </c>
      <c r="AO7">
        <v>3</v>
      </c>
      <c r="AP7">
        <f t="shared" si="0"/>
        <v>6.5446224256292929E-2</v>
      </c>
    </row>
    <row r="8" spans="1:42" x14ac:dyDescent="0.2">
      <c r="A8" t="s">
        <v>47</v>
      </c>
      <c r="B8">
        <v>2019</v>
      </c>
      <c r="C8">
        <v>136.6253559301951</v>
      </c>
      <c r="D8">
        <v>59.617304841638067</v>
      </c>
      <c r="E8">
        <v>7.2648639041423051</v>
      </c>
      <c r="F8">
        <v>2.1772375003239941</v>
      </c>
      <c r="G8">
        <v>5.7936240513156614</v>
      </c>
      <c r="H8">
        <v>2.201922732753971</v>
      </c>
      <c r="I8">
        <v>5.6776034588947602E-2</v>
      </c>
      <c r="J8">
        <v>0.43818299999999999</v>
      </c>
      <c r="K8">
        <v>0.40500000000000003</v>
      </c>
      <c r="L8">
        <v>12.3</v>
      </c>
      <c r="M8">
        <v>0.16624672905184751</v>
      </c>
      <c r="N8">
        <v>397</v>
      </c>
      <c r="O8">
        <v>10</v>
      </c>
      <c r="P8">
        <v>29.568960399360812</v>
      </c>
      <c r="Q8">
        <v>54.415397707401091</v>
      </c>
      <c r="R8">
        <v>12.17032077406777</v>
      </c>
      <c r="S8">
        <v>3.729428099296539</v>
      </c>
      <c r="T8">
        <v>0.1158930198737806</v>
      </c>
      <c r="U8" t="s">
        <v>47</v>
      </c>
      <c r="V8">
        <v>3004.8144731872749</v>
      </c>
      <c r="W8">
        <v>28.382560916235828</v>
      </c>
      <c r="X8">
        <v>4.8499999999999996</v>
      </c>
      <c r="AA8">
        <v>0.08</v>
      </c>
      <c r="AD8">
        <v>761.77</v>
      </c>
      <c r="AF8">
        <v>74.819999999999993</v>
      </c>
      <c r="AH8">
        <v>4.43</v>
      </c>
      <c r="AI8">
        <v>14.7</v>
      </c>
      <c r="AK8">
        <v>3004.8144731872749</v>
      </c>
      <c r="AL8">
        <v>28.382560916235828</v>
      </c>
      <c r="AM8" t="s">
        <v>126</v>
      </c>
      <c r="AN8">
        <v>13.08876905943622</v>
      </c>
      <c r="AO8">
        <v>2</v>
      </c>
      <c r="AP8">
        <f t="shared" si="0"/>
        <v>4.2820749092091714E-2</v>
      </c>
    </row>
    <row r="9" spans="1:42" x14ac:dyDescent="0.2">
      <c r="A9" t="s">
        <v>48</v>
      </c>
      <c r="B9">
        <v>2019</v>
      </c>
      <c r="C9">
        <v>91.798079122770957</v>
      </c>
      <c r="D9">
        <v>41.721112201098862</v>
      </c>
      <c r="E9">
        <v>3.076091915694402</v>
      </c>
      <c r="F9">
        <v>1.434647910260834</v>
      </c>
      <c r="G9">
        <v>4.6787616532830816</v>
      </c>
      <c r="H9">
        <v>1.033980475863665</v>
      </c>
      <c r="I9">
        <v>9.0473291638070594E-2</v>
      </c>
      <c r="J9">
        <v>0.61557890000000004</v>
      </c>
      <c r="K9">
        <v>0.38700000000000001</v>
      </c>
      <c r="L9">
        <v>7.8</v>
      </c>
      <c r="M9">
        <v>0.1569028740401435</v>
      </c>
      <c r="N9">
        <v>155</v>
      </c>
      <c r="O9">
        <v>5</v>
      </c>
      <c r="P9">
        <v>32.903767103798408</v>
      </c>
      <c r="Q9">
        <v>47.448406448126448</v>
      </c>
      <c r="R9">
        <v>17.411721065145901</v>
      </c>
      <c r="S9">
        <v>1.9611734343406559</v>
      </c>
      <c r="T9">
        <v>0.27493194858858772</v>
      </c>
      <c r="U9" t="s">
        <v>48</v>
      </c>
      <c r="V9">
        <v>2927.788909969101</v>
      </c>
      <c r="W9">
        <v>31.654385334291881</v>
      </c>
      <c r="AK9">
        <v>2927.788909969101</v>
      </c>
      <c r="AL9">
        <v>31.654385334291881</v>
      </c>
      <c r="AM9" t="s">
        <v>127</v>
      </c>
      <c r="AN9">
        <v>13.053456722323061</v>
      </c>
      <c r="AO9">
        <v>2</v>
      </c>
      <c r="AP9">
        <f t="shared" si="0"/>
        <v>5.195353748680042E-2</v>
      </c>
    </row>
    <row r="10" spans="1:42" x14ac:dyDescent="0.2">
      <c r="A10" t="s">
        <v>49</v>
      </c>
      <c r="B10">
        <v>2019</v>
      </c>
      <c r="C10">
        <v>119.723009830968</v>
      </c>
      <c r="D10">
        <v>58.724182148281891</v>
      </c>
      <c r="E10">
        <v>4.9492287451872086</v>
      </c>
      <c r="F10">
        <v>2.4829464075181611</v>
      </c>
      <c r="G10">
        <v>6.5156513110040351</v>
      </c>
      <c r="H10">
        <v>3.6827594366544552</v>
      </c>
      <c r="I10">
        <v>0.54158227009624338</v>
      </c>
      <c r="J10">
        <v>0.33449590000000001</v>
      </c>
      <c r="K10">
        <v>0.377</v>
      </c>
      <c r="L10">
        <v>13.8</v>
      </c>
      <c r="M10">
        <v>0.1533441924570855</v>
      </c>
      <c r="N10">
        <v>155</v>
      </c>
      <c r="O10">
        <v>5</v>
      </c>
      <c r="P10">
        <v>29.445417378498082</v>
      </c>
      <c r="Q10">
        <v>47.526323582178087</v>
      </c>
      <c r="R10">
        <v>21.112110244612239</v>
      </c>
      <c r="S10">
        <v>1.891126165650981</v>
      </c>
      <c r="T10">
        <v>2.5022629060600821E-2</v>
      </c>
      <c r="U10" t="s">
        <v>49</v>
      </c>
      <c r="V10">
        <v>2900.941627539697</v>
      </c>
      <c r="W10">
        <v>38.477596898064128</v>
      </c>
      <c r="AK10">
        <v>2900.941627539697</v>
      </c>
      <c r="AL10">
        <v>38.477596898064128</v>
      </c>
      <c r="AM10" t="s">
        <v>127</v>
      </c>
      <c r="AN10">
        <v>12.986478593697271</v>
      </c>
      <c r="AO10">
        <v>2</v>
      </c>
      <c r="AP10">
        <f t="shared" si="0"/>
        <v>5.894634282135152E-2</v>
      </c>
    </row>
    <row r="11" spans="1:42" x14ac:dyDescent="0.2">
      <c r="A11" t="s">
        <v>50</v>
      </c>
      <c r="B11">
        <v>2019</v>
      </c>
      <c r="C11">
        <v>225.07482662495559</v>
      </c>
      <c r="D11">
        <v>107.5286314177243</v>
      </c>
      <c r="E11">
        <v>4.7596140644561586</v>
      </c>
      <c r="F11">
        <v>3.152735811926088</v>
      </c>
      <c r="G11">
        <v>5.4206715734084021</v>
      </c>
      <c r="H11">
        <v>3.1323955808814028</v>
      </c>
      <c r="I11">
        <v>3.05103465670266E-2</v>
      </c>
      <c r="J11">
        <v>0.29107369999999999</v>
      </c>
      <c r="K11">
        <v>0.372</v>
      </c>
      <c r="L11">
        <v>20.100000000000001</v>
      </c>
      <c r="M11">
        <v>0.1725624552724184</v>
      </c>
      <c r="N11">
        <v>135</v>
      </c>
      <c r="O11">
        <v>1</v>
      </c>
      <c r="P11">
        <v>33.291911540451778</v>
      </c>
      <c r="Q11">
        <v>43.387325943139999</v>
      </c>
      <c r="R11">
        <v>17.92782879079245</v>
      </c>
      <c r="S11">
        <v>4.6307820527057739</v>
      </c>
      <c r="T11">
        <v>0.76215167291000796</v>
      </c>
      <c r="U11" t="s">
        <v>50</v>
      </c>
      <c r="V11">
        <v>2370.960754259936</v>
      </c>
      <c r="W11">
        <v>28.926372811380141</v>
      </c>
      <c r="AK11">
        <v>2370.960754259936</v>
      </c>
      <c r="AL11">
        <v>28.926372811380141</v>
      </c>
      <c r="AM11" t="s">
        <v>123</v>
      </c>
      <c r="AN11">
        <v>13.087986446313071</v>
      </c>
      <c r="AO11">
        <v>2</v>
      </c>
      <c r="AP11">
        <f t="shared" si="0"/>
        <v>2.4219420722064074E-2</v>
      </c>
    </row>
    <row r="12" spans="1:42" x14ac:dyDescent="0.2">
      <c r="A12" t="s">
        <v>51</v>
      </c>
      <c r="B12">
        <v>2019</v>
      </c>
      <c r="C12">
        <v>122.90920006882391</v>
      </c>
      <c r="D12">
        <v>52.130428575089418</v>
      </c>
      <c r="E12">
        <v>5.0739307587832814</v>
      </c>
      <c r="F12">
        <v>2.108646549104741</v>
      </c>
      <c r="G12">
        <v>6.5968421553589272</v>
      </c>
      <c r="H12">
        <v>2.5113394664684932</v>
      </c>
      <c r="I12">
        <v>8.7860272879364099E-2</v>
      </c>
      <c r="J12">
        <v>0.38900220000000002</v>
      </c>
      <c r="K12">
        <v>0.33800000000000002</v>
      </c>
      <c r="L12">
        <v>12.7</v>
      </c>
      <c r="M12">
        <v>0.14658070895538619</v>
      </c>
      <c r="N12">
        <v>109</v>
      </c>
      <c r="O12">
        <v>3</v>
      </c>
      <c r="P12">
        <v>28.669525781857519</v>
      </c>
      <c r="Q12">
        <v>46.796922449506802</v>
      </c>
      <c r="R12">
        <v>20.4175981698186</v>
      </c>
      <c r="S12">
        <v>3.837517307000669</v>
      </c>
      <c r="T12">
        <v>0.27843629181640489</v>
      </c>
      <c r="U12" t="s">
        <v>51</v>
      </c>
      <c r="V12">
        <v>2893.5950546814252</v>
      </c>
      <c r="W12">
        <v>36.024332904084403</v>
      </c>
      <c r="AK12">
        <v>2893.5950546814252</v>
      </c>
      <c r="AL12">
        <v>36.024332904084403</v>
      </c>
      <c r="AM12" t="s">
        <v>127</v>
      </c>
      <c r="AN12">
        <v>12.88643157838945</v>
      </c>
      <c r="AO12">
        <v>1</v>
      </c>
      <c r="AP12">
        <f t="shared" si="0"/>
        <v>5.4387323524155581E-2</v>
      </c>
    </row>
    <row r="13" spans="1:42" x14ac:dyDescent="0.2">
      <c r="A13" t="s">
        <v>52</v>
      </c>
      <c r="B13">
        <v>2019</v>
      </c>
      <c r="C13">
        <v>163.99542334643661</v>
      </c>
      <c r="D13">
        <v>61.132382775096723</v>
      </c>
      <c r="E13">
        <v>4.5264044914694228</v>
      </c>
      <c r="F13">
        <v>2.281148342837453</v>
      </c>
      <c r="G13">
        <v>7.6131331931410813</v>
      </c>
      <c r="H13">
        <v>2.5682858964813291</v>
      </c>
      <c r="I13">
        <v>0.4147542441522642</v>
      </c>
      <c r="J13">
        <v>0.38034990000000002</v>
      </c>
      <c r="K13">
        <v>0.34499999999999997</v>
      </c>
      <c r="L13">
        <v>13.1</v>
      </c>
      <c r="M13">
        <v>0.16425747975822119</v>
      </c>
      <c r="N13">
        <v>212</v>
      </c>
      <c r="O13">
        <v>19</v>
      </c>
      <c r="P13">
        <v>30.579061968269929</v>
      </c>
      <c r="Q13">
        <v>47.834011019855488</v>
      </c>
      <c r="R13">
        <v>17.526769281243471</v>
      </c>
      <c r="S13">
        <v>3.8470957665868819</v>
      </c>
      <c r="T13">
        <v>0.21306196404422911</v>
      </c>
      <c r="U13" t="s">
        <v>52</v>
      </c>
      <c r="V13">
        <v>2757.286698306963</v>
      </c>
      <c r="W13">
        <v>37.442077416981277</v>
      </c>
      <c r="X13">
        <v>9.75</v>
      </c>
      <c r="AA13">
        <v>2.94</v>
      </c>
      <c r="AD13">
        <v>762.58</v>
      </c>
      <c r="AF13">
        <v>69.02</v>
      </c>
      <c r="AH13">
        <v>4.8899999999999997</v>
      </c>
      <c r="AI13">
        <v>13.74</v>
      </c>
      <c r="AK13">
        <v>2757.286698306963</v>
      </c>
      <c r="AL13">
        <v>37.442077416981277</v>
      </c>
      <c r="AM13" t="s">
        <v>122</v>
      </c>
      <c r="AN13">
        <v>13.011610190920511</v>
      </c>
      <c r="AO13">
        <v>2</v>
      </c>
      <c r="AP13">
        <f t="shared" si="0"/>
        <v>4.8951899226691319E-2</v>
      </c>
    </row>
    <row r="14" spans="1:42" x14ac:dyDescent="0.2">
      <c r="A14" t="s">
        <v>53</v>
      </c>
      <c r="B14">
        <v>2019</v>
      </c>
      <c r="C14">
        <v>151.8009990468548</v>
      </c>
      <c r="D14">
        <v>77.382027946935594</v>
      </c>
      <c r="E14">
        <v>4.8642089280499574</v>
      </c>
      <c r="F14">
        <v>2.3207757385590471</v>
      </c>
      <c r="G14">
        <v>5.7890937242284704</v>
      </c>
      <c r="H14">
        <v>3.3312980158652001</v>
      </c>
      <c r="I14">
        <v>8.5637481127640008E-3</v>
      </c>
      <c r="J14">
        <v>0.5439541</v>
      </c>
      <c r="K14">
        <v>0.35599999999999998</v>
      </c>
      <c r="L14">
        <v>12.9</v>
      </c>
      <c r="M14">
        <v>0.14536319589766791</v>
      </c>
      <c r="N14">
        <v>121</v>
      </c>
      <c r="O14">
        <v>3</v>
      </c>
      <c r="P14">
        <v>27.10476985217301</v>
      </c>
      <c r="Q14">
        <v>49.020742097910173</v>
      </c>
      <c r="R14">
        <v>16.337878689740808</v>
      </c>
      <c r="S14">
        <v>6.9877719511329603</v>
      </c>
      <c r="T14">
        <v>0.54883740904305967</v>
      </c>
      <c r="U14" t="s">
        <v>53</v>
      </c>
      <c r="V14">
        <v>2835.7391003847902</v>
      </c>
      <c r="W14">
        <v>35.046852282061963</v>
      </c>
      <c r="X14">
        <v>5.62</v>
      </c>
      <c r="AA14">
        <v>1.7</v>
      </c>
      <c r="AD14">
        <v>758.52</v>
      </c>
      <c r="AF14">
        <v>79.42</v>
      </c>
      <c r="AH14">
        <v>2.7</v>
      </c>
      <c r="AI14">
        <v>8.4499999999999993</v>
      </c>
      <c r="AK14">
        <v>2835.7391003847902</v>
      </c>
      <c r="AL14">
        <v>35.046852282061963</v>
      </c>
      <c r="AM14" t="s">
        <v>125</v>
      </c>
      <c r="AN14">
        <v>12.58148042352988</v>
      </c>
      <c r="AO14">
        <v>1</v>
      </c>
      <c r="AP14">
        <f t="shared" si="0"/>
        <v>3.8192485614351811E-2</v>
      </c>
    </row>
    <row r="15" spans="1:42" x14ac:dyDescent="0.2">
      <c r="A15" t="s">
        <v>54</v>
      </c>
      <c r="B15">
        <v>2019</v>
      </c>
      <c r="C15">
        <v>132.34694592067001</v>
      </c>
      <c r="D15">
        <v>49.088825987908862</v>
      </c>
      <c r="E15">
        <v>4.8629168651713339</v>
      </c>
      <c r="F15">
        <v>1.7784872634107181</v>
      </c>
      <c r="G15">
        <v>5.8896281114398397</v>
      </c>
      <c r="H15">
        <v>2.4056832548550768</v>
      </c>
      <c r="I15">
        <v>0.21479314775491759</v>
      </c>
      <c r="J15">
        <v>0.4285813</v>
      </c>
      <c r="K15">
        <v>0.39300000000000002</v>
      </c>
      <c r="L15">
        <v>8.9</v>
      </c>
      <c r="M15">
        <v>0.16375784398618809</v>
      </c>
      <c r="N15">
        <v>209</v>
      </c>
      <c r="O15">
        <v>15</v>
      </c>
      <c r="P15">
        <v>31.98140261050672</v>
      </c>
      <c r="Q15">
        <v>39.899407787702451</v>
      </c>
      <c r="R15">
        <v>25.329395458737469</v>
      </c>
      <c r="S15">
        <v>2.5930304151986299</v>
      </c>
      <c r="T15">
        <v>0.19676372785473009</v>
      </c>
      <c r="U15" t="s">
        <v>54</v>
      </c>
      <c r="V15">
        <v>2778.3815016671601</v>
      </c>
      <c r="W15">
        <v>35.109944271478902</v>
      </c>
      <c r="X15">
        <v>8.4700000000000006</v>
      </c>
      <c r="AA15">
        <v>2.5</v>
      </c>
      <c r="AD15">
        <v>761.71</v>
      </c>
      <c r="AF15">
        <v>71.52</v>
      </c>
      <c r="AH15">
        <v>3.44</v>
      </c>
      <c r="AI15">
        <v>11.83</v>
      </c>
      <c r="AK15">
        <v>2778.3815016671601</v>
      </c>
      <c r="AL15">
        <v>35.109944271478902</v>
      </c>
      <c r="AM15" t="s">
        <v>127</v>
      </c>
      <c r="AN15">
        <v>12.34130728323219</v>
      </c>
      <c r="AO15">
        <v>1</v>
      </c>
      <c r="AP15">
        <f t="shared" si="0"/>
        <v>4.6124383277070892E-2</v>
      </c>
    </row>
    <row r="16" spans="1:42" x14ac:dyDescent="0.2">
      <c r="A16" t="s">
        <v>55</v>
      </c>
      <c r="B16">
        <v>2019</v>
      </c>
      <c r="C16">
        <v>222.30838018172381</v>
      </c>
      <c r="D16">
        <v>85.609049920894478</v>
      </c>
      <c r="E16">
        <v>7.0038083207744224</v>
      </c>
      <c r="F16">
        <v>3.9396421804356119</v>
      </c>
      <c r="G16">
        <v>5.8156622663573323</v>
      </c>
      <c r="H16">
        <v>3.6895061689793831</v>
      </c>
      <c r="I16">
        <v>0.50027202291245865</v>
      </c>
      <c r="J16">
        <v>0.3651451</v>
      </c>
      <c r="K16">
        <v>0.34399999999999997</v>
      </c>
      <c r="L16">
        <v>23.4</v>
      </c>
      <c r="M16">
        <v>0.1654208292106859</v>
      </c>
      <c r="N16">
        <v>16</v>
      </c>
      <c r="O16">
        <v>1</v>
      </c>
      <c r="P16">
        <v>25.99868095303513</v>
      </c>
      <c r="Q16">
        <v>44.059190851133039</v>
      </c>
      <c r="R16">
        <v>17.120194579522469</v>
      </c>
      <c r="S16">
        <v>11.15769443054946</v>
      </c>
      <c r="T16">
        <v>1.664239185759911</v>
      </c>
      <c r="U16" t="s">
        <v>55</v>
      </c>
      <c r="V16">
        <v>2607.535992429267</v>
      </c>
      <c r="W16">
        <v>29.253850219401748</v>
      </c>
      <c r="AK16">
        <v>2607.535992429267</v>
      </c>
      <c r="AL16">
        <v>29.253850219401748</v>
      </c>
      <c r="AM16" t="s">
        <v>124</v>
      </c>
      <c r="AN16">
        <v>12.962913015358829</v>
      </c>
      <c r="AO16">
        <v>1</v>
      </c>
      <c r="AP16">
        <f t="shared" si="0"/>
        <v>2.8410689170182843E-2</v>
      </c>
    </row>
    <row r="17" spans="1:42" x14ac:dyDescent="0.2">
      <c r="A17" t="s">
        <v>56</v>
      </c>
      <c r="B17">
        <v>2019</v>
      </c>
      <c r="C17">
        <v>221.17969384069019</v>
      </c>
      <c r="D17">
        <v>120.54025905787751</v>
      </c>
      <c r="E17">
        <v>6.4365702275787333</v>
      </c>
      <c r="F17">
        <v>4.4192778093142611</v>
      </c>
      <c r="G17">
        <v>4.8790328255698849</v>
      </c>
      <c r="H17">
        <v>2.5333439671228248</v>
      </c>
      <c r="I17">
        <v>0.1032103097716706</v>
      </c>
      <c r="J17">
        <v>0.3586838</v>
      </c>
      <c r="K17">
        <v>0.36899999999999999</v>
      </c>
      <c r="L17">
        <v>20.8</v>
      </c>
      <c r="M17">
        <v>0.17991531146657239</v>
      </c>
      <c r="N17">
        <v>87</v>
      </c>
      <c r="O17">
        <v>10</v>
      </c>
      <c r="P17">
        <v>22.000536521750579</v>
      </c>
      <c r="Q17">
        <v>38.903812180213158</v>
      </c>
      <c r="R17">
        <v>25.56136680067204</v>
      </c>
      <c r="S17">
        <v>12.61218987146805</v>
      </c>
      <c r="T17">
        <v>0.92209462589617885</v>
      </c>
      <c r="U17" t="s">
        <v>56</v>
      </c>
      <c r="V17">
        <v>2873.009304562644</v>
      </c>
      <c r="W17">
        <v>34.284786896606157</v>
      </c>
      <c r="X17">
        <v>0.34</v>
      </c>
      <c r="AA17">
        <v>-7.73</v>
      </c>
      <c r="AD17">
        <v>760.46</v>
      </c>
      <c r="AF17">
        <v>59.92</v>
      </c>
      <c r="AH17">
        <v>2.93</v>
      </c>
      <c r="AI17">
        <v>13.72</v>
      </c>
      <c r="AK17">
        <v>2873.009304562644</v>
      </c>
      <c r="AL17">
        <v>34.284786896606157</v>
      </c>
      <c r="AM17" t="s">
        <v>123</v>
      </c>
      <c r="AN17">
        <v>12.825471305801219</v>
      </c>
      <c r="AO17">
        <v>1</v>
      </c>
      <c r="AP17">
        <f t="shared" si="0"/>
        <v>2.2525771009205445E-2</v>
      </c>
    </row>
    <row r="18" spans="1:42" x14ac:dyDescent="0.2">
      <c r="A18" t="s">
        <v>57</v>
      </c>
      <c r="B18">
        <v>2019</v>
      </c>
      <c r="C18">
        <v>138.36164831006391</v>
      </c>
      <c r="D18">
        <v>52.699715190503703</v>
      </c>
      <c r="E18">
        <v>6.711944073771634</v>
      </c>
      <c r="F18">
        <v>2.4995518731701489</v>
      </c>
      <c r="G18">
        <v>7.1600709036228567</v>
      </c>
      <c r="H18">
        <v>2.3402178892230481</v>
      </c>
      <c r="I18">
        <v>4.97918699834691E-2</v>
      </c>
      <c r="J18">
        <v>0.26574229999999999</v>
      </c>
      <c r="K18">
        <v>0.36799999999999999</v>
      </c>
      <c r="L18">
        <v>13.6</v>
      </c>
      <c r="M18">
        <v>0.1444900834451287</v>
      </c>
      <c r="N18">
        <v>81</v>
      </c>
      <c r="O18">
        <v>6</v>
      </c>
      <c r="P18">
        <v>28.074731601666809</v>
      </c>
      <c r="Q18">
        <v>47.605708923202407</v>
      </c>
      <c r="R18">
        <v>19.407385413865661</v>
      </c>
      <c r="S18">
        <v>4.6332351423333424</v>
      </c>
      <c r="T18">
        <v>0.27893891893175748</v>
      </c>
      <c r="U18" t="s">
        <v>57</v>
      </c>
      <c r="V18">
        <v>2542.004030275371</v>
      </c>
      <c r="W18">
        <v>34.217559588760551</v>
      </c>
      <c r="AK18">
        <v>2542.004030275371</v>
      </c>
      <c r="AL18">
        <v>34.217559588760551</v>
      </c>
      <c r="AM18" t="s">
        <v>127</v>
      </c>
      <c r="AN18">
        <v>13.079101437593341</v>
      </c>
      <c r="AO18">
        <v>2</v>
      </c>
      <c r="AP18">
        <f t="shared" si="0"/>
        <v>5.2108823952785384E-2</v>
      </c>
    </row>
    <row r="19" spans="1:42" x14ac:dyDescent="0.2">
      <c r="A19" t="s">
        <v>58</v>
      </c>
      <c r="B19">
        <v>2019</v>
      </c>
      <c r="C19">
        <v>191.5493733117076</v>
      </c>
      <c r="D19">
        <v>85.275317035086445</v>
      </c>
      <c r="E19">
        <v>5.7637055872494489</v>
      </c>
      <c r="F19">
        <v>3.140427139796552</v>
      </c>
      <c r="G19">
        <v>6.7854913100252192</v>
      </c>
      <c r="H19">
        <v>3.3572959462632461</v>
      </c>
      <c r="I19">
        <v>8.3411079410266903E-2</v>
      </c>
      <c r="J19">
        <v>0.64193750000000005</v>
      </c>
      <c r="K19">
        <v>0.36399999999999999</v>
      </c>
      <c r="L19">
        <v>17.899999999999999</v>
      </c>
      <c r="M19">
        <v>0.16456872789151319</v>
      </c>
      <c r="N19">
        <v>283</v>
      </c>
      <c r="O19">
        <v>17</v>
      </c>
      <c r="P19">
        <v>29.148650709707169</v>
      </c>
      <c r="Q19">
        <v>42.205018459448112</v>
      </c>
      <c r="R19">
        <v>20.389909008825221</v>
      </c>
      <c r="S19">
        <v>7.8674887153067479</v>
      </c>
      <c r="T19">
        <v>0.38893310671274151</v>
      </c>
      <c r="U19" t="s">
        <v>58</v>
      </c>
      <c r="V19">
        <v>2768.22355994804</v>
      </c>
      <c r="W19">
        <v>29.586972873422571</v>
      </c>
      <c r="AK19">
        <v>2768.22355994804</v>
      </c>
      <c r="AL19">
        <v>29.586972873422571</v>
      </c>
      <c r="AM19" t="s">
        <v>123</v>
      </c>
      <c r="AN19">
        <v>13.208600346250719</v>
      </c>
      <c r="AO19">
        <v>3</v>
      </c>
      <c r="AP19">
        <f t="shared" si="0"/>
        <v>3.5859696488057653E-2</v>
      </c>
    </row>
    <row r="20" spans="1:42" x14ac:dyDescent="0.2">
      <c r="A20" t="s">
        <v>59</v>
      </c>
      <c r="B20">
        <v>2019</v>
      </c>
      <c r="C20">
        <v>148.78460806216799</v>
      </c>
      <c r="D20">
        <v>58.422230581717777</v>
      </c>
      <c r="E20">
        <v>5.7174958366053437</v>
      </c>
      <c r="F20">
        <v>1.915810123260429</v>
      </c>
      <c r="G20">
        <v>5.5378886375496794</v>
      </c>
      <c r="H20">
        <v>2.4945444313286842</v>
      </c>
      <c r="I20">
        <v>0.39912710901258941</v>
      </c>
      <c r="J20">
        <v>0.51585250000000005</v>
      </c>
      <c r="K20">
        <v>0.35799999999999998</v>
      </c>
      <c r="L20">
        <v>13.5</v>
      </c>
      <c r="M20">
        <v>0.16466944555336641</v>
      </c>
      <c r="N20">
        <v>67</v>
      </c>
      <c r="O20">
        <v>3</v>
      </c>
      <c r="P20">
        <v>30.55264307328159</v>
      </c>
      <c r="Q20">
        <v>48.367298953013467</v>
      </c>
      <c r="R20">
        <v>16.389115998057271</v>
      </c>
      <c r="S20">
        <v>4.3603134779428876</v>
      </c>
      <c r="T20">
        <v>0.33062849770477948</v>
      </c>
      <c r="U20" t="s">
        <v>59</v>
      </c>
      <c r="V20">
        <v>2589.1453425835821</v>
      </c>
      <c r="W20">
        <v>36.260042974082907</v>
      </c>
      <c r="AK20">
        <v>2589.1453425835821</v>
      </c>
      <c r="AL20">
        <v>36.260042974082907</v>
      </c>
      <c r="AM20" t="s">
        <v>125</v>
      </c>
      <c r="AN20">
        <v>13.084089195237249</v>
      </c>
      <c r="AO20">
        <v>2</v>
      </c>
      <c r="AP20">
        <f t="shared" si="0"/>
        <v>3.9903427000201205E-2</v>
      </c>
    </row>
    <row r="21" spans="1:42" x14ac:dyDescent="0.2">
      <c r="A21" t="s">
        <v>60</v>
      </c>
      <c r="B21">
        <v>2019</v>
      </c>
      <c r="C21">
        <v>102.58686139953861</v>
      </c>
      <c r="D21">
        <v>68.146724519250171</v>
      </c>
      <c r="E21">
        <v>2.6774547308424448</v>
      </c>
      <c r="F21">
        <v>1.6138083309187341</v>
      </c>
      <c r="G21">
        <v>7.3354924132669712</v>
      </c>
      <c r="H21">
        <v>4.7680700686235324</v>
      </c>
      <c r="I21">
        <v>0.33009715859701372</v>
      </c>
      <c r="J21">
        <v>0.32844250000000003</v>
      </c>
      <c r="K21">
        <v>0.33800000000000002</v>
      </c>
      <c r="L21">
        <v>23.5</v>
      </c>
      <c r="M21">
        <v>0.16835651274653041</v>
      </c>
      <c r="N21">
        <v>24</v>
      </c>
      <c r="O21">
        <v>59</v>
      </c>
      <c r="P21">
        <v>39.576336872033963</v>
      </c>
      <c r="Q21">
        <v>35.086521771670647</v>
      </c>
      <c r="R21">
        <v>22.049927823849671</v>
      </c>
      <c r="S21">
        <v>3.0784276641428709</v>
      </c>
      <c r="T21">
        <v>0.2087858683028401</v>
      </c>
      <c r="U21" t="s">
        <v>60</v>
      </c>
      <c r="V21">
        <v>2311.036913416212</v>
      </c>
      <c r="W21">
        <v>36.228502266185082</v>
      </c>
      <c r="X21">
        <v>11.58</v>
      </c>
      <c r="AA21">
        <v>3.87</v>
      </c>
      <c r="AD21">
        <v>762.47</v>
      </c>
      <c r="AF21">
        <v>67.78</v>
      </c>
      <c r="AH21">
        <v>5.22</v>
      </c>
      <c r="AI21">
        <v>15.44</v>
      </c>
      <c r="AK21">
        <v>2311.036913416212</v>
      </c>
      <c r="AL21">
        <v>36.228502266185082</v>
      </c>
      <c r="AM21" t="s">
        <v>122</v>
      </c>
      <c r="AN21">
        <v>13.18387468182156</v>
      </c>
      <c r="AO21">
        <v>3</v>
      </c>
      <c r="AP21">
        <f t="shared" si="0"/>
        <v>7.4722917411512324E-2</v>
      </c>
    </row>
    <row r="22" spans="1:42" x14ac:dyDescent="0.2">
      <c r="A22" t="s">
        <v>61</v>
      </c>
      <c r="B22">
        <v>2019</v>
      </c>
      <c r="C22">
        <v>154.50078265866179</v>
      </c>
      <c r="D22">
        <v>55.251738691077691</v>
      </c>
      <c r="E22">
        <v>11.729972854623631</v>
      </c>
      <c r="F22">
        <v>3.3882185103727038</v>
      </c>
      <c r="G22">
        <v>7.2321623174622047</v>
      </c>
      <c r="H22">
        <v>2.496582060274624</v>
      </c>
      <c r="I22">
        <v>0.14860607501634659</v>
      </c>
      <c r="J22">
        <v>0.52219389999999999</v>
      </c>
      <c r="K22">
        <v>0.35599999999999998</v>
      </c>
      <c r="L22">
        <v>10.7</v>
      </c>
      <c r="M22">
        <v>0.15351520484990711</v>
      </c>
      <c r="N22">
        <v>85</v>
      </c>
      <c r="O22">
        <v>3</v>
      </c>
      <c r="P22">
        <v>29.84841083054804</v>
      </c>
      <c r="Q22">
        <v>47.848991301320758</v>
      </c>
      <c r="R22">
        <v>19.300114372850391</v>
      </c>
      <c r="S22">
        <v>2.866935613171496</v>
      </c>
      <c r="T22">
        <v>0.13554788210932139</v>
      </c>
      <c r="U22" t="s">
        <v>61</v>
      </c>
      <c r="V22">
        <v>2635.0287473268559</v>
      </c>
      <c r="W22">
        <v>32.733802910319937</v>
      </c>
      <c r="X22">
        <v>7.91</v>
      </c>
      <c r="AA22">
        <v>3.42</v>
      </c>
      <c r="AD22">
        <v>760.65</v>
      </c>
      <c r="AF22">
        <v>76.78</v>
      </c>
      <c r="AH22">
        <v>3.37</v>
      </c>
      <c r="AI22">
        <v>12.15</v>
      </c>
      <c r="AK22">
        <v>2635.0287473268559</v>
      </c>
      <c r="AL22">
        <v>32.733802910319937</v>
      </c>
      <c r="AM22" t="s">
        <v>127</v>
      </c>
      <c r="AN22">
        <v>12.9539061752881</v>
      </c>
      <c r="AO22">
        <v>1</v>
      </c>
      <c r="AP22">
        <f t="shared" si="0"/>
        <v>4.777172170567489E-2</v>
      </c>
    </row>
    <row r="23" spans="1:42" x14ac:dyDescent="0.2">
      <c r="A23" t="s">
        <v>62</v>
      </c>
      <c r="B23">
        <v>2019</v>
      </c>
      <c r="C23">
        <v>183.5900140758699</v>
      </c>
      <c r="D23">
        <v>98.817054997569301</v>
      </c>
      <c r="E23">
        <v>10.040575363097069</v>
      </c>
      <c r="F23">
        <v>4.6072260368641631</v>
      </c>
      <c r="G23">
        <v>7.9117191943391489</v>
      </c>
      <c r="H23">
        <v>6.3865685062737709</v>
      </c>
      <c r="I23">
        <v>0.34951369934831578</v>
      </c>
      <c r="J23">
        <v>0.93696030000000008</v>
      </c>
      <c r="K23">
        <v>0.38100000000000001</v>
      </c>
      <c r="L23">
        <v>14.2</v>
      </c>
      <c r="M23">
        <v>0.16161936137861119</v>
      </c>
      <c r="N23">
        <v>33</v>
      </c>
      <c r="O23">
        <v>2</v>
      </c>
      <c r="P23">
        <v>36.77379086752552</v>
      </c>
      <c r="Q23">
        <v>41.111975260105417</v>
      </c>
      <c r="R23">
        <v>17.486217367712221</v>
      </c>
      <c r="S23">
        <v>4.2928939448881973</v>
      </c>
      <c r="T23">
        <v>0.33512255976864941</v>
      </c>
      <c r="U23" t="s">
        <v>62</v>
      </c>
      <c r="V23">
        <v>2215.778207800387</v>
      </c>
      <c r="W23">
        <v>24.738677463987869</v>
      </c>
      <c r="AK23">
        <v>2215.778207800387</v>
      </c>
      <c r="AL23">
        <v>24.738677463987869</v>
      </c>
      <c r="AM23" t="s">
        <v>124</v>
      </c>
      <c r="AN23">
        <v>12.997166670222249</v>
      </c>
      <c r="AO23">
        <v>2</v>
      </c>
      <c r="AP23">
        <f t="shared" si="0"/>
        <v>4.499826929733472E-2</v>
      </c>
    </row>
    <row r="24" spans="1:42" x14ac:dyDescent="0.2">
      <c r="A24" t="s">
        <v>63</v>
      </c>
      <c r="B24">
        <v>2019</v>
      </c>
      <c r="C24">
        <v>199.56120480992021</v>
      </c>
      <c r="D24">
        <v>79.928032411302539</v>
      </c>
      <c r="E24">
        <v>9.0606676417670879</v>
      </c>
      <c r="F24">
        <v>4.1258397297332277</v>
      </c>
      <c r="G24">
        <v>6.5528042766351273</v>
      </c>
      <c r="H24">
        <v>3.559548002122785</v>
      </c>
      <c r="I24">
        <v>0.45303338208835447</v>
      </c>
      <c r="J24">
        <v>0.57479449999999999</v>
      </c>
      <c r="K24">
        <v>0.35899999999999999</v>
      </c>
      <c r="L24">
        <v>14.1</v>
      </c>
      <c r="M24">
        <v>0.13496038726100071</v>
      </c>
      <c r="N24">
        <v>54</v>
      </c>
      <c r="O24">
        <v>2</v>
      </c>
      <c r="P24">
        <v>26.784577033401941</v>
      </c>
      <c r="Q24">
        <v>52.766348189493307</v>
      </c>
      <c r="R24">
        <v>13.359654231536901</v>
      </c>
      <c r="S24">
        <v>6.4691113670380496</v>
      </c>
      <c r="T24">
        <v>0.62030917852980849</v>
      </c>
      <c r="U24" t="s">
        <v>63</v>
      </c>
      <c r="V24">
        <v>2854.0336408460812</v>
      </c>
      <c r="W24">
        <v>31.020375674001489</v>
      </c>
      <c r="X24">
        <v>5.97</v>
      </c>
      <c r="AA24">
        <v>1.5</v>
      </c>
      <c r="AD24">
        <v>758.25</v>
      </c>
      <c r="AF24">
        <v>76.33</v>
      </c>
      <c r="AH24">
        <v>3.21</v>
      </c>
      <c r="AI24">
        <v>12.18</v>
      </c>
      <c r="AK24">
        <v>2854.0336408460812</v>
      </c>
      <c r="AL24">
        <v>31.020375674001489</v>
      </c>
      <c r="AM24" t="s">
        <v>125</v>
      </c>
      <c r="AN24">
        <v>12.802310430466081</v>
      </c>
      <c r="AO24">
        <v>1</v>
      </c>
      <c r="AP24">
        <f t="shared" si="0"/>
        <v>3.5106210475109444E-2</v>
      </c>
    </row>
    <row r="25" spans="1:42" x14ac:dyDescent="0.2">
      <c r="A25" t="s">
        <v>64</v>
      </c>
      <c r="B25">
        <v>2019</v>
      </c>
      <c r="C25">
        <v>201.0577895309948</v>
      </c>
      <c r="D25">
        <v>92.12655781645438</v>
      </c>
      <c r="E25">
        <v>9.9653885043167136</v>
      </c>
      <c r="F25">
        <v>3.1934115507266321</v>
      </c>
      <c r="G25">
        <v>4.3152188870474628</v>
      </c>
      <c r="H25">
        <v>1.6677535733303019</v>
      </c>
      <c r="I25">
        <v>0.22436146726416609</v>
      </c>
      <c r="J25">
        <v>0.41791679999999998</v>
      </c>
      <c r="K25">
        <v>0.35199999999999998</v>
      </c>
      <c r="L25">
        <v>13.6</v>
      </c>
      <c r="M25">
        <v>0.15588214768907979</v>
      </c>
      <c r="N25">
        <v>207</v>
      </c>
      <c r="O25">
        <v>13</v>
      </c>
      <c r="P25">
        <v>28.460683107519241</v>
      </c>
      <c r="Q25">
        <v>49.752952148667688</v>
      </c>
      <c r="R25">
        <v>15.56671011235459</v>
      </c>
      <c r="S25">
        <v>5.981122543004437</v>
      </c>
      <c r="T25">
        <v>0.23853208845403631</v>
      </c>
      <c r="U25" t="s">
        <v>64</v>
      </c>
      <c r="V25">
        <v>2578.300761454354</v>
      </c>
      <c r="W25">
        <v>31.820096163970099</v>
      </c>
      <c r="AK25">
        <v>2578.300761454354</v>
      </c>
      <c r="AL25">
        <v>31.820096163970099</v>
      </c>
      <c r="AM25" t="s">
        <v>123</v>
      </c>
      <c r="AN25">
        <v>13.05415455622615</v>
      </c>
      <c r="AO25">
        <v>2</v>
      </c>
      <c r="AP25">
        <f t="shared" si="0"/>
        <v>2.2578485344442789E-2</v>
      </c>
    </row>
    <row r="26" spans="1:42" x14ac:dyDescent="0.2">
      <c r="A26" t="s">
        <v>65</v>
      </c>
      <c r="B26">
        <v>2019</v>
      </c>
      <c r="C26">
        <v>150.22297617578371</v>
      </c>
      <c r="D26">
        <v>76.69154136948957</v>
      </c>
      <c r="E26">
        <v>6.6975392831903546</v>
      </c>
      <c r="F26">
        <v>1.925935591997227</v>
      </c>
      <c r="G26">
        <v>5.5183950431920534</v>
      </c>
      <c r="H26">
        <v>2.633422135996208</v>
      </c>
      <c r="I26">
        <v>6.2887692799909398E-2</v>
      </c>
      <c r="J26">
        <v>0.30845400000000001</v>
      </c>
      <c r="K26">
        <v>0.34899999999999998</v>
      </c>
      <c r="L26">
        <v>13.8</v>
      </c>
      <c r="M26">
        <v>0.13199155082114941</v>
      </c>
      <c r="N26">
        <v>172</v>
      </c>
      <c r="O26">
        <v>4</v>
      </c>
      <c r="P26">
        <v>25.60900917089371</v>
      </c>
      <c r="Q26">
        <v>46.53244372419671</v>
      </c>
      <c r="R26">
        <v>20.937714930732799</v>
      </c>
      <c r="S26">
        <v>6.6351888267753987</v>
      </c>
      <c r="T26">
        <v>0.28564334740137548</v>
      </c>
      <c r="U26" t="s">
        <v>65</v>
      </c>
      <c r="V26">
        <v>2503.0848009294618</v>
      </c>
      <c r="W26">
        <v>30.360439582522499</v>
      </c>
      <c r="AK26">
        <v>2503.0848009294618</v>
      </c>
      <c r="AL26">
        <v>30.360439582522499</v>
      </c>
      <c r="AM26" t="s">
        <v>126</v>
      </c>
      <c r="AN26">
        <v>13.04244877199049</v>
      </c>
      <c r="AO26">
        <v>2</v>
      </c>
      <c r="AP26">
        <f t="shared" si="0"/>
        <v>3.7153322867608578E-2</v>
      </c>
    </row>
    <row r="27" spans="1:42" x14ac:dyDescent="0.2">
      <c r="A27" t="s">
        <v>66</v>
      </c>
      <c r="B27">
        <v>2019</v>
      </c>
      <c r="C27">
        <v>204.58063078525959</v>
      </c>
      <c r="D27">
        <v>104.52462254662839</v>
      </c>
      <c r="E27">
        <v>8.2868103609219084</v>
      </c>
      <c r="F27">
        <v>4.119315615458274</v>
      </c>
      <c r="G27">
        <v>9.2022138310237462</v>
      </c>
      <c r="H27">
        <v>5.6249134281257724</v>
      </c>
      <c r="I27">
        <v>0.26498521502947958</v>
      </c>
      <c r="J27">
        <v>0.93113000000000001</v>
      </c>
      <c r="K27">
        <v>0.39</v>
      </c>
      <c r="L27">
        <v>14.5</v>
      </c>
      <c r="M27">
        <v>0.14380584926826381</v>
      </c>
      <c r="N27">
        <v>90</v>
      </c>
      <c r="O27">
        <v>3</v>
      </c>
      <c r="P27">
        <v>27.546880002835351</v>
      </c>
      <c r="Q27">
        <v>54.093578931665583</v>
      </c>
      <c r="R27">
        <v>12.655717558046589</v>
      </c>
      <c r="S27">
        <v>5.3935084600219936</v>
      </c>
      <c r="T27">
        <v>0.31031504743049249</v>
      </c>
      <c r="U27" t="s">
        <v>117</v>
      </c>
      <c r="V27">
        <v>2449.3597518221059</v>
      </c>
      <c r="W27">
        <v>31.84215828192605</v>
      </c>
      <c r="AM27" t="s">
        <v>125</v>
      </c>
      <c r="AN27">
        <v>12.922194070658991</v>
      </c>
      <c r="AO27">
        <v>1</v>
      </c>
      <c r="AP27">
        <f t="shared" si="0"/>
        <v>4.6276125993523702E-2</v>
      </c>
    </row>
    <row r="28" spans="1:42" x14ac:dyDescent="0.2">
      <c r="A28" t="s">
        <v>67</v>
      </c>
      <c r="B28">
        <v>2019</v>
      </c>
      <c r="C28">
        <v>129.5689247991815</v>
      </c>
      <c r="D28">
        <v>64.290164091346327</v>
      </c>
      <c r="E28">
        <v>7.1084804328483981</v>
      </c>
      <c r="F28">
        <v>2.6990256831124162</v>
      </c>
      <c r="G28">
        <v>6.2297278848583097</v>
      </c>
      <c r="H28">
        <v>3.499318182174818</v>
      </c>
      <c r="I28">
        <v>4.7076029356611898E-2</v>
      </c>
      <c r="J28">
        <v>0.33867789999999998</v>
      </c>
      <c r="K28">
        <v>0.34799999999999998</v>
      </c>
      <c r="L28">
        <v>11.9</v>
      </c>
      <c r="M28">
        <v>0.13238098540272519</v>
      </c>
      <c r="N28">
        <v>87</v>
      </c>
      <c r="O28">
        <v>2</v>
      </c>
      <c r="P28">
        <v>27.82516751649689</v>
      </c>
      <c r="Q28">
        <v>54.150460691454462</v>
      </c>
      <c r="R28">
        <v>11.695828557166021</v>
      </c>
      <c r="S28">
        <v>5.7886176788661299</v>
      </c>
      <c r="T28">
        <v>0.53992555601651304</v>
      </c>
      <c r="U28" t="s">
        <v>67</v>
      </c>
      <c r="V28">
        <v>2621.1373010996608</v>
      </c>
      <c r="W28">
        <v>34.575402552132232</v>
      </c>
      <c r="AK28">
        <v>2621.1373010996608</v>
      </c>
      <c r="AL28">
        <v>34.575402552132232</v>
      </c>
      <c r="AM28" t="s">
        <v>127</v>
      </c>
      <c r="AN28">
        <v>12.860631477316961</v>
      </c>
      <c r="AO28">
        <v>1</v>
      </c>
      <c r="AP28">
        <f t="shared" si="0"/>
        <v>4.8443744701465431E-2</v>
      </c>
    </row>
    <row r="29" spans="1:42" x14ac:dyDescent="0.2">
      <c r="A29" t="s">
        <v>68</v>
      </c>
      <c r="B29">
        <v>2019</v>
      </c>
      <c r="C29">
        <v>126.7440182641126</v>
      </c>
      <c r="D29">
        <v>50.212145918149652</v>
      </c>
      <c r="E29">
        <v>4.2190170911798113</v>
      </c>
      <c r="F29">
        <v>1.858987807695679</v>
      </c>
      <c r="G29">
        <v>6.715372147228293</v>
      </c>
      <c r="H29">
        <v>2.5547803871474888</v>
      </c>
      <c r="I29">
        <v>0.125702985091803</v>
      </c>
      <c r="J29">
        <v>0.44633539999999999</v>
      </c>
      <c r="K29">
        <v>0.4</v>
      </c>
      <c r="L29">
        <v>10.6</v>
      </c>
      <c r="M29">
        <v>0.15931368459690329</v>
      </c>
      <c r="N29">
        <v>479</v>
      </c>
      <c r="O29">
        <v>2</v>
      </c>
      <c r="P29">
        <v>26.238513070548869</v>
      </c>
      <c r="Q29">
        <v>47.138594224929399</v>
      </c>
      <c r="R29">
        <v>23.231201115819331</v>
      </c>
      <c r="S29">
        <v>3.3460014909524052</v>
      </c>
      <c r="T29">
        <v>4.5690097749996987E-2</v>
      </c>
      <c r="U29" t="s">
        <v>68</v>
      </c>
      <c r="V29">
        <v>2650.2137128416498</v>
      </c>
      <c r="W29">
        <v>35.873160677782842</v>
      </c>
      <c r="X29">
        <v>14.13</v>
      </c>
      <c r="AA29">
        <v>9.08</v>
      </c>
      <c r="AD29">
        <v>761.34</v>
      </c>
      <c r="AF29">
        <v>74.569999999999993</v>
      </c>
      <c r="AH29">
        <v>3.75</v>
      </c>
      <c r="AI29">
        <v>13.77</v>
      </c>
      <c r="AK29">
        <v>2650.2137128416498</v>
      </c>
      <c r="AL29">
        <v>35.873160677782842</v>
      </c>
      <c r="AM29" t="s">
        <v>122</v>
      </c>
      <c r="AN29">
        <v>13.05970268043974</v>
      </c>
      <c r="AO29">
        <v>2</v>
      </c>
      <c r="AP29">
        <f t="shared" si="0"/>
        <v>5.3975526624573951E-2</v>
      </c>
    </row>
    <row r="30" spans="1:42" x14ac:dyDescent="0.2">
      <c r="A30" t="s">
        <v>69</v>
      </c>
      <c r="B30">
        <v>2019</v>
      </c>
      <c r="C30">
        <v>161.89832659829801</v>
      </c>
      <c r="D30">
        <v>76.933889950891185</v>
      </c>
      <c r="E30">
        <v>9.0291458741152635</v>
      </c>
      <c r="F30">
        <v>3.6394938667917409</v>
      </c>
      <c r="G30">
        <v>5.1252145944399947</v>
      </c>
      <c r="H30">
        <v>2.352101198806134</v>
      </c>
      <c r="I30">
        <v>5.5671034291269399E-2</v>
      </c>
      <c r="J30">
        <v>0.93758699999999995</v>
      </c>
      <c r="K30">
        <v>0.38900000000000001</v>
      </c>
      <c r="L30">
        <v>17.3</v>
      </c>
      <c r="M30">
        <v>0.1700452175314402</v>
      </c>
      <c r="N30">
        <v>274</v>
      </c>
      <c r="O30">
        <v>7</v>
      </c>
      <c r="P30">
        <v>29.102270377984951</v>
      </c>
      <c r="Q30">
        <v>42.947428374142689</v>
      </c>
      <c r="R30">
        <v>21.079580358550821</v>
      </c>
      <c r="S30">
        <v>6.3708511393444196</v>
      </c>
      <c r="T30">
        <v>0.49986974997712252</v>
      </c>
      <c r="U30" t="s">
        <v>69</v>
      </c>
      <c r="V30">
        <v>2574.3080820978962</v>
      </c>
      <c r="W30">
        <v>27.372818781173301</v>
      </c>
      <c r="X30">
        <v>-4.34</v>
      </c>
      <c r="AA30">
        <v>-7.46</v>
      </c>
      <c r="AD30">
        <v>756.36</v>
      </c>
      <c r="AF30">
        <v>80.66</v>
      </c>
      <c r="AH30">
        <v>6.42</v>
      </c>
      <c r="AI30">
        <v>18.149999999999999</v>
      </c>
      <c r="AK30">
        <v>2574.3080820978962</v>
      </c>
      <c r="AL30">
        <v>27.372818781173301</v>
      </c>
      <c r="AM30" t="s">
        <v>123</v>
      </c>
      <c r="AN30">
        <v>12.615246637267379</v>
      </c>
      <c r="AO30">
        <v>1</v>
      </c>
      <c r="AP30">
        <f t="shared" si="0"/>
        <v>3.2000859660434124E-2</v>
      </c>
    </row>
    <row r="31" spans="1:42" x14ac:dyDescent="0.2">
      <c r="A31" t="s">
        <v>70</v>
      </c>
      <c r="B31">
        <v>2019</v>
      </c>
      <c r="C31">
        <v>109.7332486669756</v>
      </c>
      <c r="D31">
        <v>52.980984591629543</v>
      </c>
      <c r="E31">
        <v>4.4931055152739434</v>
      </c>
      <c r="F31">
        <v>2.7146935534658629</v>
      </c>
      <c r="G31">
        <v>4.0380412779877579</v>
      </c>
      <c r="H31">
        <v>2.2596293161796779</v>
      </c>
      <c r="I31">
        <v>0.10461246834165169</v>
      </c>
      <c r="J31">
        <v>0.2456595</v>
      </c>
      <c r="K31">
        <v>0.33300000000000002</v>
      </c>
      <c r="L31">
        <v>17.399999999999999</v>
      </c>
      <c r="M31">
        <v>0.15074596903540369</v>
      </c>
      <c r="N31">
        <v>197</v>
      </c>
      <c r="O31">
        <v>12</v>
      </c>
      <c r="P31">
        <v>30.561602640386781</v>
      </c>
      <c r="Q31">
        <v>43.399256446177198</v>
      </c>
      <c r="R31">
        <v>24.774850210031779</v>
      </c>
      <c r="S31">
        <v>1.1550759027803741</v>
      </c>
      <c r="T31">
        <v>0.10921480062387449</v>
      </c>
      <c r="U31" t="s">
        <v>70</v>
      </c>
      <c r="V31">
        <v>2552.923757905291</v>
      </c>
      <c r="W31">
        <v>41.741180454702352</v>
      </c>
      <c r="AK31">
        <v>2552.923757905291</v>
      </c>
      <c r="AL31">
        <v>41.741180454702352</v>
      </c>
      <c r="AM31" t="s">
        <v>122</v>
      </c>
      <c r="AN31">
        <v>13.376950276226159</v>
      </c>
      <c r="AO31">
        <v>3</v>
      </c>
      <c r="AP31">
        <f t="shared" si="0"/>
        <v>3.7752037752037761E-2</v>
      </c>
    </row>
    <row r="32" spans="1:42" x14ac:dyDescent="0.2">
      <c r="A32" t="s">
        <v>71</v>
      </c>
      <c r="B32">
        <v>2019</v>
      </c>
      <c r="C32">
        <v>204.87575790612451</v>
      </c>
      <c r="D32">
        <v>94.872295588480185</v>
      </c>
      <c r="E32">
        <v>12.44757104639865</v>
      </c>
      <c r="F32">
        <v>2.9950844673721488</v>
      </c>
      <c r="G32">
        <v>7.9908853589488933</v>
      </c>
      <c r="H32">
        <v>2.575772641940048</v>
      </c>
      <c r="I32">
        <v>0.22762641952028331</v>
      </c>
      <c r="J32">
        <v>0.29409419999999997</v>
      </c>
      <c r="K32">
        <v>0.35799999999999998</v>
      </c>
      <c r="L32">
        <v>19</v>
      </c>
      <c r="M32">
        <v>0.13142794398323099</v>
      </c>
      <c r="N32">
        <v>120</v>
      </c>
      <c r="O32">
        <v>3</v>
      </c>
      <c r="P32">
        <v>22.696146452166271</v>
      </c>
      <c r="Q32">
        <v>46.956410819953213</v>
      </c>
      <c r="R32">
        <v>20.23184577705112</v>
      </c>
      <c r="S32">
        <v>9.5272869867943832</v>
      </c>
      <c r="T32">
        <v>0.58830996403501956</v>
      </c>
      <c r="U32" t="s">
        <v>71</v>
      </c>
      <c r="V32">
        <v>2729.5520602096258</v>
      </c>
      <c r="W32">
        <v>31.39525432877647</v>
      </c>
      <c r="AK32">
        <v>2729.5520602096258</v>
      </c>
      <c r="AL32">
        <v>31.39525432877647</v>
      </c>
      <c r="AM32" t="s">
        <v>128</v>
      </c>
      <c r="AN32">
        <v>13.122334366448721</v>
      </c>
      <c r="AO32">
        <v>2</v>
      </c>
      <c r="AP32">
        <f t="shared" si="0"/>
        <v>4.0114613180515755E-2</v>
      </c>
    </row>
    <row r="33" spans="1:42" x14ac:dyDescent="0.2">
      <c r="A33" t="s">
        <v>72</v>
      </c>
      <c r="B33">
        <v>2019</v>
      </c>
      <c r="C33">
        <v>119.2638755023527</v>
      </c>
      <c r="D33">
        <v>56.935560652225163</v>
      </c>
      <c r="E33">
        <v>5.681813049381188</v>
      </c>
      <c r="F33">
        <v>2.2673053662872471</v>
      </c>
      <c r="G33">
        <v>6.2147653067953206</v>
      </c>
      <c r="H33">
        <v>2.0324450494606801</v>
      </c>
      <c r="I33">
        <v>0.11743015841328371</v>
      </c>
      <c r="J33">
        <v>0.45021159999999999</v>
      </c>
      <c r="K33">
        <v>0.36799999999999999</v>
      </c>
      <c r="L33">
        <v>9.9</v>
      </c>
      <c r="M33">
        <v>0.14935939621711089</v>
      </c>
      <c r="N33">
        <v>153</v>
      </c>
      <c r="O33">
        <v>8</v>
      </c>
      <c r="P33">
        <v>35.821130840651293</v>
      </c>
      <c r="Q33">
        <v>50.470402954819988</v>
      </c>
      <c r="R33">
        <v>10.823983048971471</v>
      </c>
      <c r="S33">
        <v>2.732216087854404</v>
      </c>
      <c r="T33">
        <v>0.15226706770285151</v>
      </c>
      <c r="U33" t="s">
        <v>72</v>
      </c>
      <c r="V33">
        <v>3031.436003555355</v>
      </c>
      <c r="W33">
        <v>34.602657967228097</v>
      </c>
      <c r="AK33">
        <v>3031.436003555355</v>
      </c>
      <c r="AL33">
        <v>34.602657967228097</v>
      </c>
      <c r="AM33" t="s">
        <v>127</v>
      </c>
      <c r="AN33">
        <v>13.2243506985988</v>
      </c>
      <c r="AO33">
        <v>3</v>
      </c>
      <c r="AP33">
        <f t="shared" si="0"/>
        <v>5.3093993789290285E-2</v>
      </c>
    </row>
    <row r="34" spans="1:42" x14ac:dyDescent="0.2">
      <c r="A34" t="s">
        <v>73</v>
      </c>
      <c r="B34">
        <v>2019</v>
      </c>
      <c r="C34">
        <v>131.57332210597411</v>
      </c>
      <c r="D34">
        <v>43.671974227582403</v>
      </c>
      <c r="E34">
        <v>6.6454999196370732</v>
      </c>
      <c r="F34">
        <v>3.0305211359908482</v>
      </c>
      <c r="G34">
        <v>6.5102087974946254</v>
      </c>
      <c r="H34">
        <v>1.379969445852975</v>
      </c>
      <c r="I34">
        <v>0.13529112214244851</v>
      </c>
      <c r="J34">
        <v>0.63330140000000001</v>
      </c>
      <c r="K34">
        <v>0.35199999999999998</v>
      </c>
      <c r="L34">
        <v>9.1</v>
      </c>
      <c r="M34">
        <v>0.16731608609127549</v>
      </c>
      <c r="N34">
        <v>127</v>
      </c>
      <c r="O34">
        <v>1</v>
      </c>
      <c r="P34">
        <v>31.210268194952999</v>
      </c>
      <c r="Q34">
        <v>47.133201404203987</v>
      </c>
      <c r="R34">
        <v>18.556110780541111</v>
      </c>
      <c r="S34">
        <v>2.9657796797530529</v>
      </c>
      <c r="T34">
        <v>0.1346399405488512</v>
      </c>
      <c r="U34" t="s">
        <v>73</v>
      </c>
      <c r="V34">
        <v>2549.1204474723231</v>
      </c>
      <c r="W34">
        <v>33.884928596159227</v>
      </c>
      <c r="AK34">
        <v>2549.1204474723231</v>
      </c>
      <c r="AL34">
        <v>33.884928596159227</v>
      </c>
      <c r="AM34" t="s">
        <v>125</v>
      </c>
      <c r="AN34">
        <v>13.30806105129826</v>
      </c>
      <c r="AO34">
        <v>3</v>
      </c>
      <c r="AP34">
        <f t="shared" si="0"/>
        <v>5.0507958705219423E-2</v>
      </c>
    </row>
    <row r="35" spans="1:42" x14ac:dyDescent="0.2">
      <c r="A35" t="s">
        <v>74</v>
      </c>
      <c r="B35">
        <v>2019</v>
      </c>
      <c r="C35">
        <v>106.4740152180659</v>
      </c>
      <c r="D35">
        <v>54.41267094101142</v>
      </c>
      <c r="E35">
        <v>4.623984406071493</v>
      </c>
      <c r="F35">
        <v>1.6258243847434739</v>
      </c>
      <c r="G35">
        <v>4.6939123365980926</v>
      </c>
      <c r="H35">
        <v>1.9492410634290041</v>
      </c>
      <c r="I35">
        <v>0.16607883500067741</v>
      </c>
      <c r="J35">
        <v>0.49104520000000002</v>
      </c>
      <c r="K35">
        <v>0.38800000000000001</v>
      </c>
      <c r="L35">
        <v>8.6999999999999993</v>
      </c>
      <c r="M35">
        <v>0.14751326157224931</v>
      </c>
      <c r="N35">
        <v>76</v>
      </c>
      <c r="O35">
        <v>4</v>
      </c>
      <c r="P35">
        <v>31.769385417943202</v>
      </c>
      <c r="Q35">
        <v>50.419461146117143</v>
      </c>
      <c r="R35">
        <v>15.568455761797001</v>
      </c>
      <c r="S35">
        <v>2.043497922974272</v>
      </c>
      <c r="T35">
        <v>0.19919975116837921</v>
      </c>
      <c r="U35" t="s">
        <v>74</v>
      </c>
      <c r="V35">
        <v>2534.7442958044589</v>
      </c>
      <c r="W35">
        <v>33.485466613758049</v>
      </c>
      <c r="X35">
        <v>7.73</v>
      </c>
      <c r="AA35">
        <v>3.03</v>
      </c>
      <c r="AD35">
        <v>761.52</v>
      </c>
      <c r="AF35">
        <v>76.63</v>
      </c>
      <c r="AH35">
        <v>4.26</v>
      </c>
      <c r="AI35">
        <v>12.97</v>
      </c>
      <c r="AK35">
        <v>2534.7442958044589</v>
      </c>
      <c r="AL35">
        <v>33.485466613758049</v>
      </c>
      <c r="AM35" t="s">
        <v>127</v>
      </c>
      <c r="AN35">
        <v>12.914843672544441</v>
      </c>
      <c r="AO35">
        <v>1</v>
      </c>
      <c r="AP35">
        <f t="shared" si="0"/>
        <v>4.564485674410966E-2</v>
      </c>
    </row>
    <row r="36" spans="1:42" x14ac:dyDescent="0.2">
      <c r="A36" t="s">
        <v>75</v>
      </c>
      <c r="B36">
        <v>2019</v>
      </c>
      <c r="C36">
        <v>204.27092626421401</v>
      </c>
      <c r="D36">
        <v>110.1009671892037</v>
      </c>
      <c r="E36">
        <v>15.64779019216336</v>
      </c>
      <c r="F36">
        <v>6.7264256482150193</v>
      </c>
      <c r="G36">
        <v>10.620672076128979</v>
      </c>
      <c r="H36">
        <v>6.6556211677074932</v>
      </c>
      <c r="I36">
        <v>0.14160896101505299</v>
      </c>
      <c r="J36">
        <v>1.5395961</v>
      </c>
      <c r="K36">
        <v>0.39</v>
      </c>
      <c r="L36">
        <v>9.1999999999999993</v>
      </c>
      <c r="M36">
        <v>0.15331498623967971</v>
      </c>
      <c r="N36">
        <v>19</v>
      </c>
      <c r="O36">
        <v>1</v>
      </c>
      <c r="P36">
        <v>40.421785087150738</v>
      </c>
      <c r="Q36">
        <v>39.630937674037767</v>
      </c>
      <c r="R36">
        <v>16.085776213165211</v>
      </c>
      <c r="S36">
        <v>3.377519322534253</v>
      </c>
      <c r="T36">
        <v>0.48398170311202188</v>
      </c>
      <c r="U36" t="s">
        <v>75</v>
      </c>
      <c r="V36">
        <v>2533.0341735657962</v>
      </c>
      <c r="W36">
        <v>29.435539394631611</v>
      </c>
      <c r="AK36">
        <v>2533.0341735657962</v>
      </c>
      <c r="AL36">
        <v>29.435539394631611</v>
      </c>
      <c r="AM36" t="s">
        <v>124</v>
      </c>
      <c r="AN36">
        <v>13.142894282275259</v>
      </c>
      <c r="AO36">
        <v>3</v>
      </c>
      <c r="AP36">
        <f t="shared" si="0"/>
        <v>5.2686308492201045E-2</v>
      </c>
    </row>
    <row r="37" spans="1:42" x14ac:dyDescent="0.2">
      <c r="A37" t="s">
        <v>76</v>
      </c>
      <c r="B37">
        <v>2019</v>
      </c>
      <c r="C37">
        <v>113.9657250360093</v>
      </c>
      <c r="D37">
        <v>53.9551427143655</v>
      </c>
      <c r="E37">
        <v>4.5709750433581231</v>
      </c>
      <c r="F37">
        <v>2.5279990593491868</v>
      </c>
      <c r="G37">
        <v>6.7021370410652876</v>
      </c>
      <c r="H37">
        <v>3.527440547929098</v>
      </c>
      <c r="I37">
        <v>0.11758135159763659</v>
      </c>
      <c r="J37">
        <v>0.2973326</v>
      </c>
      <c r="K37">
        <v>0.36199999999999999</v>
      </c>
      <c r="L37">
        <v>20.100000000000001</v>
      </c>
      <c r="M37">
        <v>0.1564668520646729</v>
      </c>
      <c r="N37">
        <v>74</v>
      </c>
      <c r="O37">
        <v>3</v>
      </c>
      <c r="P37">
        <v>28.162468869048158</v>
      </c>
      <c r="Q37">
        <v>45.930806422398831</v>
      </c>
      <c r="R37">
        <v>21.377343103074999</v>
      </c>
      <c r="S37">
        <v>3.7357100343600398</v>
      </c>
      <c r="T37">
        <v>0.79367157111798292</v>
      </c>
      <c r="U37" t="s">
        <v>118</v>
      </c>
      <c r="V37">
        <v>2665.6345265463442</v>
      </c>
      <c r="W37">
        <v>32.287464421472059</v>
      </c>
      <c r="AM37" t="s">
        <v>126</v>
      </c>
      <c r="AN37">
        <v>13.841415015410041</v>
      </c>
      <c r="AO37">
        <v>3</v>
      </c>
      <c r="AP37">
        <f t="shared" si="0"/>
        <v>5.9840082538044875E-2</v>
      </c>
    </row>
    <row r="38" spans="1:42" x14ac:dyDescent="0.2">
      <c r="A38" t="s">
        <v>77</v>
      </c>
      <c r="B38">
        <v>2019</v>
      </c>
      <c r="C38">
        <v>101.31941511293471</v>
      </c>
      <c r="D38">
        <v>61.193909772923831</v>
      </c>
      <c r="E38">
        <v>5.593937931173194</v>
      </c>
      <c r="F38">
        <v>1.6970373499064739</v>
      </c>
      <c r="G38">
        <v>10.634767392747239</v>
      </c>
      <c r="H38">
        <v>5.757356342645668</v>
      </c>
      <c r="I38">
        <v>0.4274019992357046</v>
      </c>
      <c r="J38">
        <v>0.32797389999999998</v>
      </c>
      <c r="K38">
        <v>0.34399999999999997</v>
      </c>
      <c r="L38">
        <v>18.2</v>
      </c>
      <c r="M38">
        <v>0.1594457093135723</v>
      </c>
      <c r="N38">
        <v>77</v>
      </c>
      <c r="O38">
        <v>2</v>
      </c>
      <c r="P38">
        <v>34.10308367864473</v>
      </c>
      <c r="Q38">
        <v>43.176050820301491</v>
      </c>
      <c r="R38">
        <v>19.119952612879139</v>
      </c>
      <c r="S38">
        <v>3.3462764179133808</v>
      </c>
      <c r="T38">
        <v>0.25463647026124647</v>
      </c>
      <c r="U38" t="s">
        <v>77</v>
      </c>
      <c r="V38">
        <v>3023.776252971325</v>
      </c>
      <c r="W38">
        <v>41.490342693803882</v>
      </c>
      <c r="AK38">
        <v>3023.776252971325</v>
      </c>
      <c r="AL38">
        <v>41.490342693803882</v>
      </c>
      <c r="AM38" t="s">
        <v>126</v>
      </c>
      <c r="AN38">
        <v>13.42042114792012</v>
      </c>
      <c r="AO38">
        <v>3</v>
      </c>
      <c r="AP38">
        <f t="shared" si="0"/>
        <v>0.10918114143920594</v>
      </c>
    </row>
    <row r="39" spans="1:42" x14ac:dyDescent="0.2">
      <c r="A39" t="s">
        <v>78</v>
      </c>
      <c r="B39">
        <v>2019</v>
      </c>
      <c r="C39">
        <v>112.62612582726069</v>
      </c>
      <c r="D39">
        <v>23.232938407466051</v>
      </c>
      <c r="E39">
        <v>5.6273032090689394</v>
      </c>
      <c r="F39">
        <v>1.8009906875622801</v>
      </c>
      <c r="G39">
        <v>9.9006926442134162</v>
      </c>
      <c r="H39">
        <v>2.0927004468153259</v>
      </c>
      <c r="I39">
        <v>0.16170867089027521</v>
      </c>
      <c r="J39">
        <v>1.5361860000000001</v>
      </c>
      <c r="K39">
        <v>0.41599999999999998</v>
      </c>
      <c r="L39">
        <v>6.5</v>
      </c>
      <c r="M39">
        <v>0.16258300396797551</v>
      </c>
      <c r="N39">
        <v>411</v>
      </c>
      <c r="O39">
        <v>146</v>
      </c>
      <c r="P39">
        <v>50.261167029459223</v>
      </c>
      <c r="Q39">
        <v>42.943416802635582</v>
      </c>
      <c r="R39">
        <v>5.5273543105415213</v>
      </c>
      <c r="S39">
        <v>1.2172865638882859</v>
      </c>
      <c r="T39">
        <v>5.0775293475382448E-2</v>
      </c>
      <c r="U39" t="s">
        <v>78</v>
      </c>
      <c r="V39">
        <v>2319.4385770988752</v>
      </c>
      <c r="W39">
        <v>20.988312460605389</v>
      </c>
      <c r="X39">
        <v>7.41</v>
      </c>
      <c r="Y39">
        <v>4.0999999999999996</v>
      </c>
      <c r="Z39">
        <v>10.9</v>
      </c>
      <c r="AA39">
        <v>2.99</v>
      </c>
      <c r="AC39">
        <v>743.61</v>
      </c>
      <c r="AD39">
        <v>760.76</v>
      </c>
      <c r="AF39">
        <v>76.959999999999994</v>
      </c>
      <c r="AG39">
        <v>11.98</v>
      </c>
      <c r="AH39">
        <v>4.25</v>
      </c>
      <c r="AI39">
        <v>11.36</v>
      </c>
      <c r="AJ39">
        <v>12.48</v>
      </c>
      <c r="AK39">
        <v>2319.4385770988752</v>
      </c>
      <c r="AL39">
        <v>20.988312460605389</v>
      </c>
      <c r="AM39" t="s">
        <v>127</v>
      </c>
      <c r="AN39">
        <v>13.233697234017921</v>
      </c>
      <c r="AO39">
        <v>3</v>
      </c>
      <c r="AP39">
        <f t="shared" si="0"/>
        <v>8.9343402706906647E-2</v>
      </c>
    </row>
    <row r="40" spans="1:42" x14ac:dyDescent="0.2">
      <c r="A40" t="s">
        <v>79</v>
      </c>
      <c r="B40">
        <v>2019</v>
      </c>
      <c r="C40">
        <v>101.3849722230519</v>
      </c>
      <c r="D40">
        <v>50.695775738004677</v>
      </c>
      <c r="E40">
        <v>5.556837047826038</v>
      </c>
      <c r="F40">
        <v>2.776444748025797</v>
      </c>
      <c r="G40">
        <v>4.9436506721956954</v>
      </c>
      <c r="H40">
        <v>2.4514296519298862</v>
      </c>
      <c r="I40">
        <v>0.20922024404554579</v>
      </c>
      <c r="J40">
        <v>0.62581189999999998</v>
      </c>
      <c r="K40">
        <v>0.38200000000000001</v>
      </c>
      <c r="L40">
        <v>7.9</v>
      </c>
      <c r="M40">
        <v>0.1604051841848983</v>
      </c>
      <c r="N40">
        <v>347</v>
      </c>
      <c r="O40">
        <v>25</v>
      </c>
      <c r="P40">
        <v>42.242414442862533</v>
      </c>
      <c r="Q40">
        <v>38.916871775686047</v>
      </c>
      <c r="R40">
        <v>16.53821461884009</v>
      </c>
      <c r="S40">
        <v>2.2712415214938568</v>
      </c>
      <c r="T40">
        <v>3.1257641117477419E-2</v>
      </c>
      <c r="U40" t="s">
        <v>79</v>
      </c>
      <c r="V40">
        <v>2757.562592618252</v>
      </c>
      <c r="W40">
        <v>26.06713013152007</v>
      </c>
      <c r="AK40">
        <v>2757.562592618252</v>
      </c>
      <c r="AL40">
        <v>26.06713013152007</v>
      </c>
      <c r="AM40" t="s">
        <v>127</v>
      </c>
      <c r="AN40">
        <v>13.166814265157489</v>
      </c>
      <c r="AO40">
        <v>3</v>
      </c>
      <c r="AP40">
        <f t="shared" si="0"/>
        <v>5.0824799802722961E-2</v>
      </c>
    </row>
    <row r="41" spans="1:42" x14ac:dyDescent="0.2">
      <c r="A41" t="s">
        <v>80</v>
      </c>
      <c r="B41">
        <v>2019</v>
      </c>
      <c r="C41">
        <v>161.9798517758029</v>
      </c>
      <c r="D41">
        <v>72.561412514571103</v>
      </c>
      <c r="E41">
        <v>8.1812056851358719</v>
      </c>
      <c r="F41">
        <v>3.3018918369747721</v>
      </c>
      <c r="G41">
        <v>5.2669853593848588</v>
      </c>
      <c r="H41">
        <v>2.727068561711957</v>
      </c>
      <c r="I41">
        <v>0.1069438651651748</v>
      </c>
      <c r="J41">
        <v>0.88312100000000004</v>
      </c>
      <c r="K41">
        <v>0.35299999999999998</v>
      </c>
      <c r="L41">
        <v>9.9</v>
      </c>
      <c r="M41">
        <v>0.15386112425119289</v>
      </c>
      <c r="N41">
        <v>67</v>
      </c>
      <c r="O41">
        <v>3</v>
      </c>
      <c r="P41">
        <v>35.31763115051308</v>
      </c>
      <c r="Q41">
        <v>46.104270344930832</v>
      </c>
      <c r="R41">
        <v>13.89122577504958</v>
      </c>
      <c r="S41">
        <v>4.5397534432847966</v>
      </c>
      <c r="T41">
        <v>0.14711928622172371</v>
      </c>
      <c r="U41" t="s">
        <v>80</v>
      </c>
      <c r="V41">
        <v>2344.532779573985</v>
      </c>
      <c r="W41">
        <v>25.279688108676691</v>
      </c>
      <c r="X41">
        <v>-0.15</v>
      </c>
      <c r="Y41">
        <v>-3.81</v>
      </c>
      <c r="Z41">
        <v>2.98</v>
      </c>
      <c r="AC41">
        <v>749.72</v>
      </c>
      <c r="AF41">
        <v>77.150000000000006</v>
      </c>
      <c r="AH41">
        <v>2.39</v>
      </c>
      <c r="AK41">
        <v>2344.532779573985</v>
      </c>
      <c r="AL41">
        <v>25.279688108676691</v>
      </c>
      <c r="AM41" t="s">
        <v>125</v>
      </c>
      <c r="AN41">
        <v>12.82593343476422</v>
      </c>
      <c r="AO41">
        <v>1</v>
      </c>
      <c r="AP41">
        <f t="shared" si="0"/>
        <v>3.3176528843773208E-2</v>
      </c>
    </row>
    <row r="42" spans="1:42" x14ac:dyDescent="0.2">
      <c r="A42" t="s">
        <v>81</v>
      </c>
      <c r="B42">
        <v>2019</v>
      </c>
      <c r="C42">
        <v>133.8539542583998</v>
      </c>
      <c r="D42">
        <v>52.646920027636213</v>
      </c>
      <c r="E42">
        <v>7.932500949567026</v>
      </c>
      <c r="F42">
        <v>2.2615404667981291</v>
      </c>
      <c r="G42">
        <v>7.8578421171005131</v>
      </c>
      <c r="H42">
        <v>2.9583562364855851</v>
      </c>
      <c r="I42">
        <v>6.8437263094303702E-2</v>
      </c>
      <c r="J42">
        <v>0.50828320000000005</v>
      </c>
      <c r="K42">
        <v>0.39500000000000002</v>
      </c>
      <c r="L42">
        <v>9.5</v>
      </c>
      <c r="M42">
        <v>0.1520404352451899</v>
      </c>
      <c r="N42">
        <v>253</v>
      </c>
      <c r="O42">
        <v>10</v>
      </c>
      <c r="P42">
        <v>32.98834026620527</v>
      </c>
      <c r="Q42">
        <v>45.922526305665599</v>
      </c>
      <c r="R42">
        <v>18.111818396700059</v>
      </c>
      <c r="S42">
        <v>2.744843611920015</v>
      </c>
      <c r="T42">
        <v>0.23247141950905359</v>
      </c>
      <c r="U42" t="s">
        <v>81</v>
      </c>
      <c r="V42">
        <v>2567.891537910506</v>
      </c>
      <c r="W42">
        <v>30.899631572364289</v>
      </c>
      <c r="AK42">
        <v>2567.891537910506</v>
      </c>
      <c r="AL42">
        <v>30.899631572364289</v>
      </c>
      <c r="AM42" t="s">
        <v>126</v>
      </c>
      <c r="AN42">
        <v>12.94819989192907</v>
      </c>
      <c r="AO42">
        <v>1</v>
      </c>
      <c r="AP42">
        <f t="shared" si="0"/>
        <v>5.9215877663901108E-2</v>
      </c>
    </row>
    <row r="43" spans="1:42" x14ac:dyDescent="0.2">
      <c r="A43" t="s">
        <v>82</v>
      </c>
      <c r="B43">
        <v>2019</v>
      </c>
      <c r="C43">
        <v>181.72701467276141</v>
      </c>
      <c r="D43">
        <v>69.615656276237061</v>
      </c>
      <c r="E43">
        <v>10.62809014219652</v>
      </c>
      <c r="F43">
        <v>2.5987179658035369</v>
      </c>
      <c r="G43">
        <v>8.0626890733904606</v>
      </c>
      <c r="H43">
        <v>2.4154750323173899</v>
      </c>
      <c r="I43">
        <v>0.26653517597984988</v>
      </c>
      <c r="J43">
        <v>0.46023180000000002</v>
      </c>
      <c r="K43">
        <v>0.34399999999999997</v>
      </c>
      <c r="L43">
        <v>13.8</v>
      </c>
      <c r="M43">
        <v>0.1406223306076918</v>
      </c>
      <c r="N43">
        <v>61</v>
      </c>
      <c r="O43">
        <v>1</v>
      </c>
      <c r="P43">
        <v>24.145118258709719</v>
      </c>
      <c r="Q43">
        <v>50.983352316920367</v>
      </c>
      <c r="R43">
        <v>17.790723200960979</v>
      </c>
      <c r="S43">
        <v>6.7223618743209954</v>
      </c>
      <c r="T43">
        <v>0.35844434908796069</v>
      </c>
      <c r="U43" t="s">
        <v>82</v>
      </c>
      <c r="V43">
        <v>2675.1839854170562</v>
      </c>
      <c r="W43">
        <v>33.731182993042403</v>
      </c>
      <c r="AK43">
        <v>2675.1839854170562</v>
      </c>
      <c r="AL43">
        <v>33.731182993042403</v>
      </c>
      <c r="AM43" t="s">
        <v>125</v>
      </c>
      <c r="AN43">
        <v>12.75078959216642</v>
      </c>
      <c r="AO43">
        <v>1</v>
      </c>
      <c r="AP43">
        <f t="shared" si="0"/>
        <v>4.5833715280960682E-2</v>
      </c>
    </row>
    <row r="44" spans="1:42" x14ac:dyDescent="0.2">
      <c r="A44" t="s">
        <v>83</v>
      </c>
      <c r="B44">
        <v>2019</v>
      </c>
      <c r="C44">
        <v>179.7354033673852</v>
      </c>
      <c r="D44">
        <v>57.203019706563794</v>
      </c>
      <c r="E44">
        <v>6.175305650780559</v>
      </c>
      <c r="F44">
        <v>2.49876135898251</v>
      </c>
      <c r="G44">
        <v>7.1311355689013753</v>
      </c>
      <c r="H44">
        <v>2.5989982043285131</v>
      </c>
      <c r="I44">
        <v>7.1597746675716598E-2</v>
      </c>
      <c r="J44">
        <v>0.47451140000000003</v>
      </c>
      <c r="K44">
        <v>0.376</v>
      </c>
      <c r="L44">
        <v>13.9</v>
      </c>
      <c r="M44">
        <v>0.16402727188486779</v>
      </c>
      <c r="N44">
        <v>176</v>
      </c>
      <c r="O44">
        <v>7</v>
      </c>
      <c r="P44">
        <v>33.143868312431692</v>
      </c>
      <c r="Q44">
        <v>38.163554227706058</v>
      </c>
      <c r="R44">
        <v>22.464172121255071</v>
      </c>
      <c r="S44">
        <v>5.9032489716036727</v>
      </c>
      <c r="T44">
        <v>0.32515636700350109</v>
      </c>
      <c r="U44" t="s">
        <v>83</v>
      </c>
      <c r="V44">
        <v>3056.9594057241829</v>
      </c>
      <c r="W44">
        <v>38.278081183871002</v>
      </c>
      <c r="AK44">
        <v>3056.9594057241829</v>
      </c>
      <c r="AL44">
        <v>38.278081183871002</v>
      </c>
      <c r="AM44" t="s">
        <v>123</v>
      </c>
      <c r="AN44">
        <v>13.03206961098798</v>
      </c>
      <c r="AO44">
        <v>2</v>
      </c>
      <c r="AP44">
        <f t="shared" si="0"/>
        <v>4.0074093253928737E-2</v>
      </c>
    </row>
    <row r="45" spans="1:42" x14ac:dyDescent="0.2">
      <c r="A45" t="s">
        <v>84</v>
      </c>
      <c r="B45">
        <v>2019</v>
      </c>
      <c r="C45">
        <v>127.9089803234758</v>
      </c>
      <c r="D45">
        <v>66.454239415284988</v>
      </c>
      <c r="E45">
        <v>8.0650346287280854</v>
      </c>
      <c r="F45">
        <v>2.7054899328513851</v>
      </c>
      <c r="G45">
        <v>8.0598911117454772</v>
      </c>
      <c r="H45">
        <v>2.9060870951730662</v>
      </c>
      <c r="I45">
        <v>0.1954536453390735</v>
      </c>
      <c r="J45">
        <v>0.40347949999999999</v>
      </c>
      <c r="K45">
        <v>0.38200000000000001</v>
      </c>
      <c r="L45">
        <v>13.7</v>
      </c>
      <c r="M45">
        <v>0.15235436038970659</v>
      </c>
      <c r="N45">
        <v>208</v>
      </c>
      <c r="O45">
        <v>40</v>
      </c>
      <c r="P45">
        <v>26.34283839614044</v>
      </c>
      <c r="Q45">
        <v>44.918697550331771</v>
      </c>
      <c r="R45">
        <v>20.708008133814459</v>
      </c>
      <c r="S45">
        <v>7.2166803938819708</v>
      </c>
      <c r="T45">
        <v>0.81377552583136037</v>
      </c>
      <c r="U45" t="s">
        <v>84</v>
      </c>
      <c r="V45">
        <v>2486.0548403196149</v>
      </c>
      <c r="W45">
        <v>32.90650867445288</v>
      </c>
      <c r="AK45">
        <v>2486.0548403196149</v>
      </c>
      <c r="AL45">
        <v>32.90650867445288</v>
      </c>
      <c r="AM45" t="s">
        <v>123</v>
      </c>
      <c r="AN45">
        <v>13.292604199845981</v>
      </c>
      <c r="AO45">
        <v>3</v>
      </c>
      <c r="AP45">
        <f t="shared" si="0"/>
        <v>6.4540775293549929E-2</v>
      </c>
    </row>
    <row r="46" spans="1:42" x14ac:dyDescent="0.2">
      <c r="A46" t="s">
        <v>85</v>
      </c>
      <c r="B46">
        <v>2019</v>
      </c>
      <c r="C46">
        <v>136.48448528201891</v>
      </c>
      <c r="D46">
        <v>70.08125798838212</v>
      </c>
      <c r="E46">
        <v>11.574079970168221</v>
      </c>
      <c r="F46">
        <v>2.5114530921183671</v>
      </c>
      <c r="G46">
        <v>6.861921531609414</v>
      </c>
      <c r="H46">
        <v>3.4131309771182679</v>
      </c>
      <c r="I46">
        <v>0.478857181864354</v>
      </c>
      <c r="J46">
        <v>0.58101080000000005</v>
      </c>
      <c r="K46">
        <v>0.379</v>
      </c>
      <c r="L46">
        <v>13.9</v>
      </c>
      <c r="M46">
        <v>0.154864592310858</v>
      </c>
      <c r="N46">
        <v>182</v>
      </c>
      <c r="O46">
        <v>6</v>
      </c>
      <c r="P46">
        <v>27.600589797085529</v>
      </c>
      <c r="Q46">
        <v>52.321324737109052</v>
      </c>
      <c r="R46">
        <v>14.185714870390729</v>
      </c>
      <c r="S46">
        <v>5.8817093208281648</v>
      </c>
      <c r="T46">
        <v>1.0661274586524881E-2</v>
      </c>
      <c r="U46" t="s">
        <v>85</v>
      </c>
      <c r="V46">
        <v>2798.4905677337961</v>
      </c>
      <c r="W46">
        <v>32.522414877639903</v>
      </c>
      <c r="AK46">
        <v>2798.4905677337961</v>
      </c>
      <c r="AL46">
        <v>32.522414877639903</v>
      </c>
      <c r="AM46" t="s">
        <v>126</v>
      </c>
      <c r="AN46">
        <v>13.160570354066991</v>
      </c>
      <c r="AO46">
        <v>3</v>
      </c>
      <c r="AP46">
        <f t="shared" si="0"/>
        <v>5.378471185428485E-2</v>
      </c>
    </row>
    <row r="47" spans="1:42" x14ac:dyDescent="0.2">
      <c r="A47" t="s">
        <v>86</v>
      </c>
      <c r="B47">
        <v>2019</v>
      </c>
      <c r="C47">
        <v>121.1548317910062</v>
      </c>
      <c r="D47">
        <v>48.981225666595002</v>
      </c>
      <c r="E47">
        <v>4.7601853767646158</v>
      </c>
      <c r="F47">
        <v>1.8797322936655729</v>
      </c>
      <c r="G47">
        <v>6.585824654785136</v>
      </c>
      <c r="H47">
        <v>1.7444997545529419</v>
      </c>
      <c r="I47">
        <v>4.0569761733789303E-2</v>
      </c>
      <c r="J47">
        <v>0.363618</v>
      </c>
      <c r="K47">
        <v>0.36499999999999999</v>
      </c>
      <c r="L47">
        <v>13.6</v>
      </c>
      <c r="M47">
        <v>0.155150432240659</v>
      </c>
      <c r="N47">
        <v>90</v>
      </c>
      <c r="O47">
        <v>4</v>
      </c>
      <c r="P47">
        <v>35.890554090743173</v>
      </c>
      <c r="Q47">
        <v>46.756973740335432</v>
      </c>
      <c r="R47">
        <v>13.44460023939744</v>
      </c>
      <c r="S47">
        <v>3.9078719295244349</v>
      </c>
      <c r="T47">
        <v>-4.6895820560166612E-13</v>
      </c>
      <c r="U47" t="s">
        <v>86</v>
      </c>
      <c r="V47">
        <v>2467.8371120567331</v>
      </c>
      <c r="W47">
        <v>33.591452576046883</v>
      </c>
      <c r="AK47">
        <v>2467.8371120567331</v>
      </c>
      <c r="AL47">
        <v>33.591452576046883</v>
      </c>
      <c r="AM47" t="s">
        <v>127</v>
      </c>
      <c r="AN47">
        <v>12.837700795303659</v>
      </c>
      <c r="AO47">
        <v>1</v>
      </c>
      <c r="AP47">
        <f t="shared" si="0"/>
        <v>5.4693604196896985E-2</v>
      </c>
    </row>
    <row r="48" spans="1:42" x14ac:dyDescent="0.2">
      <c r="A48" t="s">
        <v>87</v>
      </c>
      <c r="B48">
        <v>2019</v>
      </c>
      <c r="C48">
        <v>98.042413984339618</v>
      </c>
      <c r="D48">
        <v>56.368887712113548</v>
      </c>
      <c r="E48">
        <v>4.1043833448524127</v>
      </c>
      <c r="F48">
        <v>2.055985002689471</v>
      </c>
      <c r="G48">
        <v>4.4761297106523541</v>
      </c>
      <c r="H48">
        <v>2.427731368489412</v>
      </c>
      <c r="I48">
        <v>8.3453265791823494E-2</v>
      </c>
      <c r="J48">
        <v>0.34467209999999998</v>
      </c>
      <c r="K48">
        <v>0.35199999999999998</v>
      </c>
      <c r="L48">
        <v>13.6</v>
      </c>
      <c r="M48">
        <v>0.1512358868547935</v>
      </c>
      <c r="N48">
        <v>130</v>
      </c>
      <c r="O48">
        <v>5</v>
      </c>
      <c r="P48">
        <v>32.061855412487397</v>
      </c>
      <c r="Q48">
        <v>46.767515688527531</v>
      </c>
      <c r="R48">
        <v>18.52136669987669</v>
      </c>
      <c r="S48">
        <v>2.5638835546906691</v>
      </c>
      <c r="T48">
        <v>8.537864441768761E-2</v>
      </c>
      <c r="U48" t="s">
        <v>87</v>
      </c>
      <c r="V48">
        <v>2770.1319978070851</v>
      </c>
      <c r="W48">
        <v>33.904394807564167</v>
      </c>
      <c r="AK48">
        <v>2770.1319978070851</v>
      </c>
      <c r="AL48">
        <v>33.904394807564167</v>
      </c>
      <c r="AM48" t="s">
        <v>126</v>
      </c>
      <c r="AN48">
        <v>12.956482262148951</v>
      </c>
      <c r="AO48">
        <v>1</v>
      </c>
      <c r="AP48">
        <f t="shared" si="0"/>
        <v>4.650622920374526E-2</v>
      </c>
    </row>
    <row r="49" spans="1:42" x14ac:dyDescent="0.2">
      <c r="A49" t="s">
        <v>88</v>
      </c>
      <c r="B49">
        <v>2019</v>
      </c>
      <c r="C49">
        <v>164.51279301363559</v>
      </c>
      <c r="D49">
        <v>74.433123946683011</v>
      </c>
      <c r="E49">
        <v>10.590623563658649</v>
      </c>
      <c r="F49">
        <v>3.0986670752259839</v>
      </c>
      <c r="G49">
        <v>7.9554159644553391</v>
      </c>
      <c r="H49">
        <v>3.8532250651141409</v>
      </c>
      <c r="I49">
        <v>0.31024973188294769</v>
      </c>
      <c r="J49">
        <v>0.57955400000000001</v>
      </c>
      <c r="K49">
        <v>0.40100000000000002</v>
      </c>
      <c r="L49">
        <v>13.8</v>
      </c>
      <c r="M49">
        <v>0.15493376599752279</v>
      </c>
      <c r="N49">
        <v>255</v>
      </c>
      <c r="O49">
        <v>10</v>
      </c>
      <c r="P49">
        <v>26.317962743528209</v>
      </c>
      <c r="Q49">
        <v>49.255611020598408</v>
      </c>
      <c r="R49">
        <v>15.490714554317449</v>
      </c>
      <c r="S49">
        <v>8.507397657189566</v>
      </c>
      <c r="T49">
        <v>0.42831402436635813</v>
      </c>
      <c r="U49" t="s">
        <v>88</v>
      </c>
      <c r="V49">
        <v>2424.731765048728</v>
      </c>
      <c r="W49">
        <v>26.89241899806601</v>
      </c>
      <c r="X49">
        <v>3.75</v>
      </c>
      <c r="AA49">
        <v>-0.11</v>
      </c>
      <c r="AD49">
        <v>759.95</v>
      </c>
      <c r="AF49">
        <v>78.73</v>
      </c>
      <c r="AH49">
        <v>4.22</v>
      </c>
      <c r="AI49">
        <v>13.27</v>
      </c>
      <c r="AK49">
        <v>2424.731765048728</v>
      </c>
      <c r="AL49">
        <v>26.89241899806601</v>
      </c>
      <c r="AM49" t="s">
        <v>126</v>
      </c>
      <c r="AN49">
        <v>12.95691797781546</v>
      </c>
      <c r="AO49">
        <v>1</v>
      </c>
      <c r="AP49">
        <f t="shared" si="0"/>
        <v>5.0243300505226907E-2</v>
      </c>
    </row>
    <row r="50" spans="1:42" x14ac:dyDescent="0.2">
      <c r="A50" t="s">
        <v>89</v>
      </c>
      <c r="B50">
        <v>2019</v>
      </c>
      <c r="C50">
        <v>163.37155584800271</v>
      </c>
      <c r="D50">
        <v>75.287036754789725</v>
      </c>
      <c r="E50">
        <v>7.2527825983671779</v>
      </c>
      <c r="F50">
        <v>3.2427296110090928</v>
      </c>
      <c r="G50">
        <v>5.6918576478490248</v>
      </c>
      <c r="H50">
        <v>2.8380453645784609</v>
      </c>
      <c r="I50">
        <v>0.20496994299733329</v>
      </c>
      <c r="J50">
        <v>0.56819809999999993</v>
      </c>
      <c r="K50">
        <v>0.38700000000000001</v>
      </c>
      <c r="L50">
        <v>13.5</v>
      </c>
      <c r="M50">
        <v>0.16511465780258869</v>
      </c>
      <c r="N50">
        <v>168</v>
      </c>
      <c r="O50">
        <v>8</v>
      </c>
      <c r="P50">
        <v>28.284450596132601</v>
      </c>
      <c r="Q50">
        <v>47.327590886418008</v>
      </c>
      <c r="R50">
        <v>19.140974753217041</v>
      </c>
      <c r="S50">
        <v>4.916825681430935</v>
      </c>
      <c r="T50">
        <v>0.33015808280141812</v>
      </c>
      <c r="U50" t="s">
        <v>89</v>
      </c>
      <c r="V50">
        <v>2481.2747222379521</v>
      </c>
      <c r="W50">
        <v>30.817425456048781</v>
      </c>
      <c r="AK50">
        <v>2481.2747222379521</v>
      </c>
      <c r="AL50">
        <v>30.817425456048781</v>
      </c>
      <c r="AM50" t="s">
        <v>124</v>
      </c>
      <c r="AN50">
        <v>12.973440629289019</v>
      </c>
      <c r="AO50">
        <v>2</v>
      </c>
      <c r="AP50">
        <f t="shared" si="0"/>
        <v>3.6094579379121763E-2</v>
      </c>
    </row>
    <row r="51" spans="1:42" x14ac:dyDescent="0.2">
      <c r="A51" t="s">
        <v>90</v>
      </c>
      <c r="B51">
        <v>2019</v>
      </c>
      <c r="C51">
        <v>130.32616481193551</v>
      </c>
      <c r="D51">
        <v>68.450617881969535</v>
      </c>
      <c r="E51">
        <v>15.2465413379793</v>
      </c>
      <c r="F51">
        <v>2.6046174785714622</v>
      </c>
      <c r="G51">
        <v>6.0668529074042601</v>
      </c>
      <c r="H51">
        <v>2.3028630145906219</v>
      </c>
      <c r="I51">
        <v>0.1429363250435558</v>
      </c>
      <c r="J51">
        <v>0.31972630000000002</v>
      </c>
      <c r="K51">
        <v>0.35499999999999998</v>
      </c>
      <c r="L51">
        <v>15.9</v>
      </c>
      <c r="M51">
        <v>0.1462153381724661</v>
      </c>
      <c r="N51">
        <v>58</v>
      </c>
      <c r="O51">
        <v>3</v>
      </c>
      <c r="P51">
        <v>26.60647885319872</v>
      </c>
      <c r="Q51">
        <v>51.517103123478748</v>
      </c>
      <c r="R51">
        <v>16.072154719075609</v>
      </c>
      <c r="S51">
        <v>5.3723038503043146</v>
      </c>
      <c r="T51">
        <v>0.43195945394261059</v>
      </c>
      <c r="U51" t="s">
        <v>90</v>
      </c>
      <c r="V51">
        <v>2343.3147799169819</v>
      </c>
      <c r="W51">
        <v>34.785143531341468</v>
      </c>
      <c r="AK51">
        <v>2343.3147799169819</v>
      </c>
      <c r="AL51">
        <v>34.785143531341468</v>
      </c>
      <c r="AM51" t="s">
        <v>125</v>
      </c>
      <c r="AN51">
        <v>13.10741272156729</v>
      </c>
      <c r="AO51">
        <v>2</v>
      </c>
      <c r="AP51">
        <f t="shared" si="0"/>
        <v>4.7648062393370702E-2</v>
      </c>
    </row>
    <row r="52" spans="1:42" x14ac:dyDescent="0.2">
      <c r="A52" t="s">
        <v>91</v>
      </c>
      <c r="B52">
        <v>2019</v>
      </c>
      <c r="C52">
        <v>144.95326391136331</v>
      </c>
      <c r="D52">
        <v>60.645072245807079</v>
      </c>
      <c r="E52">
        <v>6.2156142321384378</v>
      </c>
      <c r="F52">
        <v>2.075044261265206</v>
      </c>
      <c r="G52">
        <v>4.9115726551047993</v>
      </c>
      <c r="H52">
        <v>2.4891012583525289</v>
      </c>
      <c r="I52">
        <v>0.1237411715433379</v>
      </c>
      <c r="J52">
        <v>0.386764</v>
      </c>
      <c r="K52">
        <v>0.39800000000000002</v>
      </c>
      <c r="L52">
        <v>13.3</v>
      </c>
      <c r="M52">
        <v>0.1644875572945462</v>
      </c>
      <c r="N52">
        <v>419</v>
      </c>
      <c r="O52">
        <v>6</v>
      </c>
      <c r="P52">
        <v>30.510980688727511</v>
      </c>
      <c r="Q52">
        <v>44.092558861388511</v>
      </c>
      <c r="R52">
        <v>19.70775943649058</v>
      </c>
      <c r="S52">
        <v>5.3871859089937244</v>
      </c>
      <c r="T52">
        <v>0.30151510439966961</v>
      </c>
      <c r="U52" t="s">
        <v>91</v>
      </c>
      <c r="V52">
        <v>2903.4149587019169</v>
      </c>
      <c r="W52">
        <v>31.693237349965969</v>
      </c>
      <c r="AK52">
        <v>2903.4149587019169</v>
      </c>
      <c r="AL52">
        <v>31.693237349965969</v>
      </c>
      <c r="AM52" t="s">
        <v>122</v>
      </c>
      <c r="AN52">
        <v>13.33009127534492</v>
      </c>
      <c r="AO52">
        <v>3</v>
      </c>
      <c r="AP52">
        <f t="shared" si="0"/>
        <v>3.4737498768755933E-2</v>
      </c>
    </row>
    <row r="53" spans="1:42" x14ac:dyDescent="0.2">
      <c r="A53" t="s">
        <v>92</v>
      </c>
      <c r="B53">
        <v>2019</v>
      </c>
      <c r="C53">
        <v>91.999457876365298</v>
      </c>
      <c r="D53">
        <v>47.767913640782062</v>
      </c>
      <c r="E53">
        <v>5.7623075079635626</v>
      </c>
      <c r="F53">
        <v>1.804086930063358</v>
      </c>
      <c r="G53">
        <v>5.753331951097576</v>
      </c>
      <c r="H53">
        <v>2.0733536360429641</v>
      </c>
      <c r="I53">
        <v>0.188486694185724</v>
      </c>
      <c r="J53">
        <v>0.3890324</v>
      </c>
      <c r="K53">
        <v>0.36299999999999999</v>
      </c>
      <c r="L53">
        <v>12.7</v>
      </c>
      <c r="M53">
        <v>0.14851944164392381</v>
      </c>
      <c r="N53">
        <v>136</v>
      </c>
      <c r="O53">
        <v>6</v>
      </c>
      <c r="P53">
        <v>29.723685883924361</v>
      </c>
      <c r="Q53">
        <v>52.378314660778301</v>
      </c>
      <c r="R53">
        <v>12.73353842051932</v>
      </c>
      <c r="S53">
        <v>4.6482253085842489</v>
      </c>
      <c r="T53">
        <v>0.51623572619377001</v>
      </c>
      <c r="U53" t="s">
        <v>92</v>
      </c>
      <c r="V53">
        <v>2238.253560928425</v>
      </c>
      <c r="W53">
        <v>40.75461217682502</v>
      </c>
      <c r="AK53">
        <v>2238.253560928425</v>
      </c>
      <c r="AL53">
        <v>40.75461217682502</v>
      </c>
      <c r="AM53" t="s">
        <v>127</v>
      </c>
      <c r="AN53">
        <v>13.53767412970087</v>
      </c>
      <c r="AO53">
        <v>3</v>
      </c>
      <c r="AP53">
        <f t="shared" si="0"/>
        <v>6.4585365853658538E-2</v>
      </c>
    </row>
    <row r="54" spans="1:42" x14ac:dyDescent="0.2">
      <c r="A54" t="s">
        <v>93</v>
      </c>
      <c r="B54">
        <v>2019</v>
      </c>
      <c r="C54">
        <v>133.96007210721331</v>
      </c>
      <c r="D54">
        <v>51.758728610842851</v>
      </c>
      <c r="E54">
        <v>9.6417322067785562</v>
      </c>
      <c r="F54">
        <v>2.2337150860278761</v>
      </c>
      <c r="G54">
        <v>7.9075399037020606</v>
      </c>
      <c r="H54">
        <v>2.777221007100763</v>
      </c>
      <c r="I54">
        <v>0.1602242888711978</v>
      </c>
      <c r="J54">
        <v>0.52691969999999999</v>
      </c>
      <c r="K54">
        <v>0.377</v>
      </c>
      <c r="L54">
        <v>12.9</v>
      </c>
      <c r="M54">
        <v>0.15482650369544801</v>
      </c>
      <c r="N54">
        <v>242</v>
      </c>
      <c r="O54">
        <v>17</v>
      </c>
      <c r="P54">
        <v>36.036114356640482</v>
      </c>
      <c r="Q54">
        <v>48.16252546496122</v>
      </c>
      <c r="R54">
        <v>12.542978380888581</v>
      </c>
      <c r="S54">
        <v>3.0696583521152481</v>
      </c>
      <c r="T54">
        <v>0.18872344539445859</v>
      </c>
      <c r="U54" t="s">
        <v>93</v>
      </c>
      <c r="V54">
        <v>2370.7057580906439</v>
      </c>
      <c r="W54">
        <v>29.476536302365499</v>
      </c>
      <c r="AK54">
        <v>2370.7057580906439</v>
      </c>
      <c r="AL54">
        <v>29.476536302365499</v>
      </c>
      <c r="AM54" t="s">
        <v>126</v>
      </c>
      <c r="AN54">
        <v>13.15637674086909</v>
      </c>
      <c r="AO54">
        <v>3</v>
      </c>
      <c r="AP54">
        <f t="shared" si="0"/>
        <v>6.0225140712945588E-2</v>
      </c>
    </row>
    <row r="55" spans="1:42" x14ac:dyDescent="0.2">
      <c r="A55" t="s">
        <v>94</v>
      </c>
      <c r="B55">
        <v>2019</v>
      </c>
      <c r="C55">
        <v>90.319453034887403</v>
      </c>
      <c r="D55">
        <v>36.230309311668698</v>
      </c>
      <c r="E55">
        <v>10.120934863082271</v>
      </c>
      <c r="F55">
        <v>2.5762041943650411</v>
      </c>
      <c r="G55">
        <v>5.0001021566190982</v>
      </c>
      <c r="H55">
        <v>2.4629032168190661</v>
      </c>
      <c r="I55">
        <v>0.14301926673836199</v>
      </c>
      <c r="J55">
        <v>0.93215959999999998</v>
      </c>
      <c r="K55">
        <v>0.40100000000000002</v>
      </c>
      <c r="L55">
        <v>6.6</v>
      </c>
      <c r="M55">
        <v>0.17491406549322749</v>
      </c>
      <c r="N55">
        <v>202</v>
      </c>
      <c r="O55">
        <v>64</v>
      </c>
      <c r="P55">
        <v>41.638485797823371</v>
      </c>
      <c r="Q55">
        <v>44.113593266562788</v>
      </c>
      <c r="R55">
        <v>13.786084311733701</v>
      </c>
      <c r="S55">
        <v>0.44382792256574949</v>
      </c>
      <c r="T55">
        <v>1.8008701314400351E-2</v>
      </c>
      <c r="U55" t="s">
        <v>94</v>
      </c>
      <c r="V55">
        <v>2393.9910645871541</v>
      </c>
      <c r="W55">
        <v>27.13855162811485</v>
      </c>
      <c r="X55">
        <v>6.81</v>
      </c>
      <c r="AA55">
        <v>2.2200000000000002</v>
      </c>
      <c r="AD55">
        <v>758.18</v>
      </c>
      <c r="AF55">
        <v>75.650000000000006</v>
      </c>
      <c r="AH55">
        <v>3.97</v>
      </c>
      <c r="AI55">
        <v>11.53</v>
      </c>
      <c r="AK55">
        <v>2393.9910645871541</v>
      </c>
      <c r="AL55">
        <v>27.13855162811485</v>
      </c>
      <c r="AM55" t="s">
        <v>125</v>
      </c>
      <c r="AN55">
        <v>13.12722495802444</v>
      </c>
      <c r="AO55">
        <v>2</v>
      </c>
      <c r="AP55">
        <f t="shared" si="0"/>
        <v>5.6943673267937561E-2</v>
      </c>
    </row>
    <row r="56" spans="1:42" x14ac:dyDescent="0.2">
      <c r="A56" t="s">
        <v>95</v>
      </c>
      <c r="B56">
        <v>2019</v>
      </c>
      <c r="C56">
        <v>120.103326143112</v>
      </c>
      <c r="D56">
        <v>51.54016179022171</v>
      </c>
      <c r="E56">
        <v>4.977845514715372</v>
      </c>
      <c r="F56">
        <v>2.2451517218633938</v>
      </c>
      <c r="G56">
        <v>6.5756724700561078</v>
      </c>
      <c r="H56">
        <v>2.1304359404543161</v>
      </c>
      <c r="I56">
        <v>0.10242480482953439</v>
      </c>
      <c r="J56">
        <v>0.32595819999999998</v>
      </c>
      <c r="K56">
        <v>0.36199999999999999</v>
      </c>
      <c r="L56">
        <v>15.8</v>
      </c>
      <c r="M56">
        <v>0.16280076282244299</v>
      </c>
      <c r="N56">
        <v>209</v>
      </c>
      <c r="O56">
        <v>7</v>
      </c>
      <c r="P56">
        <v>32.363372199509087</v>
      </c>
      <c r="Q56">
        <v>47.761310147915218</v>
      </c>
      <c r="R56">
        <v>15.36597419590499</v>
      </c>
      <c r="S56">
        <v>4.4453938379475009</v>
      </c>
      <c r="T56">
        <v>6.3949618723185608E-2</v>
      </c>
      <c r="U56" t="s">
        <v>95</v>
      </c>
      <c r="V56">
        <v>2884.6146891374792</v>
      </c>
      <c r="W56">
        <v>40.747915502289977</v>
      </c>
      <c r="AK56">
        <v>2884.6146891374792</v>
      </c>
      <c r="AL56">
        <v>40.747915502289977</v>
      </c>
      <c r="AM56" t="s">
        <v>126</v>
      </c>
      <c r="AN56">
        <v>12.782875072236919</v>
      </c>
      <c r="AO56">
        <v>1</v>
      </c>
      <c r="AP56">
        <f t="shared" si="0"/>
        <v>5.5602933651714155E-2</v>
      </c>
    </row>
    <row r="57" spans="1:42" x14ac:dyDescent="0.2">
      <c r="A57" t="s">
        <v>96</v>
      </c>
      <c r="B57">
        <v>2019</v>
      </c>
      <c r="C57">
        <v>128.0960156523879</v>
      </c>
      <c r="D57">
        <v>80.092325924577736</v>
      </c>
      <c r="E57">
        <v>5.0568298743858646</v>
      </c>
      <c r="F57">
        <v>3.0299614584766021</v>
      </c>
      <c r="G57">
        <v>5.8841231053692358</v>
      </c>
      <c r="H57">
        <v>3.391902247031827</v>
      </c>
      <c r="I57">
        <v>7.2388157711044995E-2</v>
      </c>
      <c r="J57">
        <v>1.2603731</v>
      </c>
      <c r="K57">
        <v>0.40400000000000003</v>
      </c>
      <c r="L57">
        <v>17.8</v>
      </c>
      <c r="M57">
        <v>0.19752645411411779</v>
      </c>
      <c r="N57">
        <v>144</v>
      </c>
      <c r="O57">
        <v>2</v>
      </c>
      <c r="P57">
        <v>35.049071244954909</v>
      </c>
      <c r="Q57">
        <v>41.638695275021888</v>
      </c>
      <c r="R57">
        <v>19.398728705827541</v>
      </c>
      <c r="S57">
        <v>3.3286707383901302</v>
      </c>
      <c r="T57">
        <v>0.58483403580551396</v>
      </c>
      <c r="U57" t="s">
        <v>96</v>
      </c>
      <c r="V57">
        <v>2675.280717940997</v>
      </c>
      <c r="W57">
        <v>29.162971247561622</v>
      </c>
      <c r="X57">
        <v>-7.29</v>
      </c>
      <c r="AA57">
        <v>-13.38</v>
      </c>
      <c r="AD57">
        <v>759.46</v>
      </c>
      <c r="AF57">
        <v>66.069999999999993</v>
      </c>
      <c r="AH57">
        <v>2.36</v>
      </c>
      <c r="AI57">
        <v>11.08</v>
      </c>
      <c r="AK57">
        <v>2675.280717940997</v>
      </c>
      <c r="AL57">
        <v>29.162971247561622</v>
      </c>
      <c r="AM57" t="s">
        <v>124</v>
      </c>
      <c r="AN57">
        <v>13.04202414130685</v>
      </c>
      <c r="AO57">
        <v>2</v>
      </c>
      <c r="AP57">
        <f t="shared" si="0"/>
        <v>4.6500363284088159E-2</v>
      </c>
    </row>
    <row r="58" spans="1:42" x14ac:dyDescent="0.2">
      <c r="A58" t="s">
        <v>97</v>
      </c>
      <c r="B58">
        <v>2019</v>
      </c>
      <c r="C58">
        <v>193.5103076150136</v>
      </c>
      <c r="D58">
        <v>85.961465409138995</v>
      </c>
      <c r="E58">
        <v>9.3946956731299434</v>
      </c>
      <c r="F58">
        <v>3.696608514862</v>
      </c>
      <c r="G58">
        <v>5.9023196729012053</v>
      </c>
      <c r="H58">
        <v>3.104334222425547</v>
      </c>
      <c r="I58">
        <v>0.38804177780319338</v>
      </c>
      <c r="J58">
        <v>2.4681717000000001</v>
      </c>
      <c r="K58">
        <v>0.42199999999999999</v>
      </c>
      <c r="L58">
        <v>8</v>
      </c>
      <c r="M58">
        <v>0.1584169435006656</v>
      </c>
      <c r="N58">
        <v>61</v>
      </c>
      <c r="O58">
        <v>1</v>
      </c>
      <c r="P58">
        <v>26.565140135260709</v>
      </c>
      <c r="Q58">
        <v>44.124673799681261</v>
      </c>
      <c r="R58">
        <v>22.789035366265541</v>
      </c>
      <c r="S58">
        <v>5.8851307949668916</v>
      </c>
      <c r="T58">
        <v>0.63601990382558427</v>
      </c>
      <c r="U58" t="s">
        <v>97</v>
      </c>
      <c r="V58">
        <v>2523.8387025464449</v>
      </c>
      <c r="W58">
        <v>31.79234450659732</v>
      </c>
      <c r="AK58">
        <v>2523.8387025464449</v>
      </c>
      <c r="AL58">
        <v>31.79234450659732</v>
      </c>
      <c r="AM58" t="s">
        <v>124</v>
      </c>
      <c r="AN58">
        <v>13.535387695680971</v>
      </c>
      <c r="AO58">
        <v>3</v>
      </c>
      <c r="AP58">
        <f t="shared" si="0"/>
        <v>3.25065963060686E-2</v>
      </c>
    </row>
    <row r="59" spans="1:42" x14ac:dyDescent="0.2">
      <c r="A59" t="s">
        <v>98</v>
      </c>
      <c r="B59">
        <v>2019</v>
      </c>
      <c r="C59">
        <v>133.83000065574541</v>
      </c>
      <c r="D59">
        <v>65.461006432561675</v>
      </c>
      <c r="E59">
        <v>9.2175103036611219</v>
      </c>
      <c r="F59">
        <v>3.095674652008864</v>
      </c>
      <c r="G59">
        <v>5.1532787620267309</v>
      </c>
      <c r="H59">
        <v>2.8940850601490049</v>
      </c>
      <c r="I59">
        <v>0.1529300352040307</v>
      </c>
      <c r="J59">
        <v>0.58785399999999999</v>
      </c>
      <c r="K59">
        <v>0.40600000000000003</v>
      </c>
      <c r="L59">
        <v>8.9</v>
      </c>
      <c r="M59">
        <v>0.15560501900841089</v>
      </c>
      <c r="N59">
        <v>494</v>
      </c>
      <c r="O59">
        <v>23</v>
      </c>
      <c r="P59">
        <v>30.514022287878131</v>
      </c>
      <c r="Q59">
        <v>46.575376569841339</v>
      </c>
      <c r="R59">
        <v>18.301155674222429</v>
      </c>
      <c r="S59">
        <v>4.2523380231793677</v>
      </c>
      <c r="T59">
        <v>0.3571074448787499</v>
      </c>
      <c r="U59" t="s">
        <v>98</v>
      </c>
      <c r="V59">
        <v>2453.857169816476</v>
      </c>
      <c r="W59">
        <v>30.233884212409141</v>
      </c>
      <c r="AK59">
        <v>2453.857169816476</v>
      </c>
      <c r="AL59">
        <v>30.233884212409141</v>
      </c>
      <c r="AM59" t="s">
        <v>128</v>
      </c>
      <c r="AN59">
        <v>13.116706655847119</v>
      </c>
      <c r="AO59">
        <v>2</v>
      </c>
      <c r="AP59">
        <f t="shared" si="0"/>
        <v>3.9648873729591229E-2</v>
      </c>
    </row>
    <row r="60" spans="1:42" x14ac:dyDescent="0.2">
      <c r="A60" t="s">
        <v>99</v>
      </c>
      <c r="B60">
        <v>2019</v>
      </c>
      <c r="C60">
        <v>95.620154688952482</v>
      </c>
      <c r="D60">
        <v>39.281427398175133</v>
      </c>
      <c r="E60">
        <v>7.1974585525662667</v>
      </c>
      <c r="F60">
        <v>2.3013817315415648</v>
      </c>
      <c r="G60">
        <v>4.0161367471999858</v>
      </c>
      <c r="H60">
        <v>1.489129355703366</v>
      </c>
      <c r="I60">
        <v>6.7687697986516596E-2</v>
      </c>
      <c r="J60">
        <v>0.26990350000000002</v>
      </c>
      <c r="K60">
        <v>0.33700000000000002</v>
      </c>
      <c r="L60">
        <v>13.3</v>
      </c>
      <c r="M60">
        <v>0.1706046358954651</v>
      </c>
      <c r="N60">
        <v>24</v>
      </c>
      <c r="O60">
        <v>12</v>
      </c>
      <c r="P60">
        <v>43.11383458353184</v>
      </c>
      <c r="Q60">
        <v>43.690486508826439</v>
      </c>
      <c r="R60">
        <v>10.46748350277324</v>
      </c>
      <c r="S60">
        <v>2.559965210079163</v>
      </c>
      <c r="T60">
        <v>0.16823019478931661</v>
      </c>
      <c r="U60" t="s">
        <v>99</v>
      </c>
      <c r="V60">
        <v>2480.6299396744071</v>
      </c>
      <c r="W60">
        <v>47.032063722462958</v>
      </c>
      <c r="AK60">
        <v>2480.6299396744071</v>
      </c>
      <c r="AL60">
        <v>47.032063722462958</v>
      </c>
      <c r="AM60" t="s">
        <v>122</v>
      </c>
      <c r="AN60">
        <v>13.02968358757243</v>
      </c>
      <c r="AO60">
        <v>2</v>
      </c>
      <c r="AP60">
        <f t="shared" si="0"/>
        <v>4.2708824917413873E-2</v>
      </c>
    </row>
    <row r="61" spans="1:42" x14ac:dyDescent="0.2">
      <c r="A61" t="s">
        <v>100</v>
      </c>
      <c r="B61">
        <v>2019</v>
      </c>
      <c r="C61">
        <v>148.1170207234367</v>
      </c>
      <c r="D61">
        <v>68.964931772575952</v>
      </c>
      <c r="E61">
        <v>7.8950468131707208</v>
      </c>
      <c r="F61">
        <v>4.1385326036782004</v>
      </c>
      <c r="G61">
        <v>6.2184105275780146</v>
      </c>
      <c r="H61">
        <v>2.4300614519033541</v>
      </c>
      <c r="I61">
        <v>0.27590217357854668</v>
      </c>
      <c r="J61">
        <v>0.37920749999999998</v>
      </c>
      <c r="K61">
        <v>0.38300000000000001</v>
      </c>
      <c r="L61">
        <v>16</v>
      </c>
      <c r="M61">
        <v>0.15157751009742571</v>
      </c>
      <c r="N61">
        <v>126</v>
      </c>
      <c r="O61">
        <v>6</v>
      </c>
      <c r="P61">
        <v>31.270765459702289</v>
      </c>
      <c r="Q61">
        <v>49.290890503988237</v>
      </c>
      <c r="R61">
        <v>14.12127901169063</v>
      </c>
      <c r="S61">
        <v>5.0450555820517398</v>
      </c>
      <c r="T61">
        <v>0.27200944256709653</v>
      </c>
      <c r="U61" t="s">
        <v>100</v>
      </c>
      <c r="V61">
        <v>3368.59839163365</v>
      </c>
      <c r="W61">
        <v>45.604337303237301</v>
      </c>
      <c r="AK61">
        <v>3368.59839163365</v>
      </c>
      <c r="AL61">
        <v>45.604337303237301</v>
      </c>
      <c r="AM61" t="s">
        <v>127</v>
      </c>
      <c r="AN61">
        <v>13.170213758330339</v>
      </c>
      <c r="AO61">
        <v>3</v>
      </c>
      <c r="AP61">
        <f t="shared" si="0"/>
        <v>4.3845823183837236E-2</v>
      </c>
    </row>
    <row r="62" spans="1:42" x14ac:dyDescent="0.2">
      <c r="A62" t="s">
        <v>101</v>
      </c>
      <c r="B62">
        <v>2019</v>
      </c>
      <c r="C62">
        <v>124.5907835498432</v>
      </c>
      <c r="D62">
        <v>65.671489006521881</v>
      </c>
      <c r="E62">
        <v>7.3821368037906776</v>
      </c>
      <c r="F62">
        <v>2.1654267957785991</v>
      </c>
      <c r="G62">
        <v>4.921424535860452</v>
      </c>
      <c r="H62">
        <v>2.2933838337109709</v>
      </c>
      <c r="I62">
        <v>0.1968569814344181</v>
      </c>
      <c r="J62">
        <v>0.35003790000000001</v>
      </c>
      <c r="K62">
        <v>0.36899999999999999</v>
      </c>
      <c r="L62">
        <v>10.7</v>
      </c>
      <c r="M62">
        <v>0.1501871294344751</v>
      </c>
      <c r="N62">
        <v>76</v>
      </c>
      <c r="O62">
        <v>4</v>
      </c>
      <c r="P62">
        <v>26.522002605712078</v>
      </c>
      <c r="Q62">
        <v>51.022152294980302</v>
      </c>
      <c r="R62">
        <v>20.288021845640611</v>
      </c>
      <c r="S62">
        <v>2.002161304020539</v>
      </c>
      <c r="T62">
        <v>0.16566194964649131</v>
      </c>
      <c r="U62" t="s">
        <v>101</v>
      </c>
      <c r="V62">
        <v>2253.9693828418899</v>
      </c>
      <c r="W62">
        <v>33.678240599844017</v>
      </c>
      <c r="AK62">
        <v>2253.9693828418899</v>
      </c>
      <c r="AL62">
        <v>33.678240599844017</v>
      </c>
      <c r="AM62" t="s">
        <v>127</v>
      </c>
      <c r="AN62">
        <v>13.019858871451509</v>
      </c>
      <c r="AO62">
        <v>2</v>
      </c>
      <c r="AP62">
        <f t="shared" si="0"/>
        <v>4.1080739453310158E-2</v>
      </c>
    </row>
    <row r="63" spans="1:42" x14ac:dyDescent="0.2">
      <c r="A63" t="s">
        <v>102</v>
      </c>
      <c r="B63">
        <v>2019</v>
      </c>
      <c r="C63">
        <v>127.8372801919034</v>
      </c>
      <c r="D63">
        <v>47.50132610754347</v>
      </c>
      <c r="E63">
        <v>5.6199257790176436</v>
      </c>
      <c r="F63">
        <v>1.9134936700808589</v>
      </c>
      <c r="G63">
        <v>5.7020059364473861</v>
      </c>
      <c r="H63">
        <v>1.7724183994984899</v>
      </c>
      <c r="I63">
        <v>0.1667253197791633</v>
      </c>
      <c r="J63">
        <v>0.7040978</v>
      </c>
      <c r="K63">
        <v>0.39400000000000002</v>
      </c>
      <c r="L63">
        <v>7.1</v>
      </c>
      <c r="M63">
        <v>0.16968709026011641</v>
      </c>
      <c r="N63">
        <v>298</v>
      </c>
      <c r="O63">
        <v>22</v>
      </c>
      <c r="P63">
        <v>35.232700525620622</v>
      </c>
      <c r="Q63">
        <v>40.19055659052998</v>
      </c>
      <c r="R63">
        <v>22.697274385736289</v>
      </c>
      <c r="S63">
        <v>1.7731480072568051</v>
      </c>
      <c r="T63">
        <v>0.1063204908562909</v>
      </c>
      <c r="U63" t="s">
        <v>102</v>
      </c>
      <c r="V63">
        <v>2507.9569819467361</v>
      </c>
      <c r="W63">
        <v>24.527817653485499</v>
      </c>
      <c r="AK63">
        <v>2507.9569819467361</v>
      </c>
      <c r="AL63">
        <v>24.527817653485499</v>
      </c>
      <c r="AM63" t="s">
        <v>126</v>
      </c>
      <c r="AN63">
        <v>12.926289287448689</v>
      </c>
      <c r="AO63">
        <v>1</v>
      </c>
      <c r="AP63">
        <f t="shared" si="0"/>
        <v>4.5907823190673977E-2</v>
      </c>
    </row>
    <row r="64" spans="1:42" x14ac:dyDescent="0.2">
      <c r="A64" t="s">
        <v>103</v>
      </c>
      <c r="B64">
        <v>2019</v>
      </c>
      <c r="C64">
        <v>163.2908959733341</v>
      </c>
      <c r="D64">
        <v>60.812705373823682</v>
      </c>
      <c r="E64">
        <v>4.3398265329590533</v>
      </c>
      <c r="F64">
        <v>2.5597887898578811</v>
      </c>
      <c r="G64">
        <v>4.9462995693253813</v>
      </c>
      <c r="H64">
        <v>2.725190527048698</v>
      </c>
      <c r="I64">
        <v>0.13389664439256599</v>
      </c>
      <c r="J64">
        <v>0.38704339999999998</v>
      </c>
      <c r="K64">
        <v>0.34200000000000003</v>
      </c>
      <c r="L64">
        <v>11.7</v>
      </c>
      <c r="M64">
        <v>0.1434849167895014</v>
      </c>
      <c r="N64">
        <v>141</v>
      </c>
      <c r="O64">
        <v>6</v>
      </c>
      <c r="P64">
        <v>26.957168093430141</v>
      </c>
      <c r="Q64">
        <v>53.607050542234447</v>
      </c>
      <c r="R64">
        <v>14.13940377051722</v>
      </c>
      <c r="S64">
        <v>4.8035513687378284</v>
      </c>
      <c r="T64">
        <v>0.49282622508036411</v>
      </c>
      <c r="U64" t="s">
        <v>103</v>
      </c>
      <c r="V64">
        <v>2808.008436397588</v>
      </c>
      <c r="W64">
        <v>38.053287841573749</v>
      </c>
      <c r="AK64">
        <v>2808.008436397588</v>
      </c>
      <c r="AL64">
        <v>38.053287841573749</v>
      </c>
      <c r="AM64" t="s">
        <v>127</v>
      </c>
      <c r="AN64">
        <v>13.103614942696449</v>
      </c>
      <c r="AO64">
        <v>2</v>
      </c>
      <c r="AP64">
        <f t="shared" si="0"/>
        <v>3.1111325487169588E-2</v>
      </c>
    </row>
    <row r="65" spans="1:42" x14ac:dyDescent="0.2">
      <c r="A65" t="s">
        <v>104</v>
      </c>
      <c r="B65">
        <v>2019</v>
      </c>
      <c r="C65">
        <v>163.9067346548585</v>
      </c>
      <c r="D65">
        <v>79.865087865518518</v>
      </c>
      <c r="E65">
        <v>7.0723064443376069</v>
      </c>
      <c r="F65">
        <v>3.4990282539570581</v>
      </c>
      <c r="G65">
        <v>6.3483695642085607</v>
      </c>
      <c r="H65">
        <v>3.3876533493218202</v>
      </c>
      <c r="I65">
        <v>0.3434059559586502</v>
      </c>
      <c r="J65">
        <v>0.57529710000000001</v>
      </c>
      <c r="K65">
        <v>0.36199999999999999</v>
      </c>
      <c r="L65">
        <v>14.8</v>
      </c>
      <c r="M65">
        <v>0.17818657112007319</v>
      </c>
      <c r="N65">
        <v>121</v>
      </c>
      <c r="O65">
        <v>5</v>
      </c>
      <c r="P65">
        <v>29.27373818875845</v>
      </c>
      <c r="Q65">
        <v>42.774403285993067</v>
      </c>
      <c r="R65">
        <v>23.713586700878</v>
      </c>
      <c r="S65">
        <v>3.9306144376884262</v>
      </c>
      <c r="T65">
        <v>0.30765738668205239</v>
      </c>
      <c r="U65" t="s">
        <v>104</v>
      </c>
      <c r="V65">
        <v>2442.2375300270619</v>
      </c>
      <c r="W65">
        <v>29.129140758472911</v>
      </c>
      <c r="AK65">
        <v>2442.2375300270619</v>
      </c>
      <c r="AL65">
        <v>29.129140758472911</v>
      </c>
      <c r="AM65" t="s">
        <v>123</v>
      </c>
      <c r="AN65">
        <v>13.340162090051599</v>
      </c>
      <c r="AO65">
        <v>3</v>
      </c>
      <c r="AP65">
        <f t="shared" si="0"/>
        <v>4.0826727066817656E-2</v>
      </c>
    </row>
    <row r="66" spans="1:42" x14ac:dyDescent="0.2">
      <c r="A66" t="s">
        <v>105</v>
      </c>
      <c r="B66">
        <v>2019</v>
      </c>
      <c r="C66">
        <v>88.219104717416201</v>
      </c>
      <c r="D66">
        <v>42.486634596008429</v>
      </c>
      <c r="E66">
        <v>4.2669212844312154</v>
      </c>
      <c r="F66">
        <v>1.771685224280473</v>
      </c>
      <c r="G66">
        <v>6.4781467361095144</v>
      </c>
      <c r="H66">
        <v>2.461425273427833</v>
      </c>
      <c r="I66">
        <v>0.2299133497157865</v>
      </c>
      <c r="J66">
        <v>0.44458510000000001</v>
      </c>
      <c r="K66">
        <v>0.34100000000000003</v>
      </c>
      <c r="L66">
        <v>10.6</v>
      </c>
      <c r="M66">
        <v>0.14324261971458041</v>
      </c>
      <c r="N66">
        <v>117</v>
      </c>
      <c r="O66">
        <v>6</v>
      </c>
      <c r="P66">
        <v>31.162098620359441</v>
      </c>
      <c r="Q66">
        <v>46.093514854177322</v>
      </c>
      <c r="R66">
        <v>20.11831676244433</v>
      </c>
      <c r="S66">
        <v>2.3817116841969121</v>
      </c>
      <c r="T66">
        <v>0.24435807882198901</v>
      </c>
      <c r="U66" t="s">
        <v>105</v>
      </c>
      <c r="V66">
        <v>2868.3574499541442</v>
      </c>
      <c r="W66">
        <v>38.527588908475337</v>
      </c>
      <c r="AK66">
        <v>2868.3574499541442</v>
      </c>
      <c r="AL66">
        <v>38.527588908475337</v>
      </c>
      <c r="AM66" t="s">
        <v>127</v>
      </c>
      <c r="AN66">
        <v>13.03679804334584</v>
      </c>
      <c r="AO66">
        <v>2</v>
      </c>
      <c r="AP66">
        <f t="shared" si="0"/>
        <v>7.6038632531044009E-2</v>
      </c>
    </row>
    <row r="67" spans="1:42" x14ac:dyDescent="0.2">
      <c r="A67" t="s">
        <v>106</v>
      </c>
      <c r="B67">
        <v>2019</v>
      </c>
      <c r="C67">
        <v>175.46643664461931</v>
      </c>
      <c r="D67">
        <v>74.109679692104066</v>
      </c>
      <c r="E67">
        <v>9.0999180217225977</v>
      </c>
      <c r="F67">
        <v>2.7721168503221518</v>
      </c>
      <c r="G67">
        <v>7.5920444855616172</v>
      </c>
      <c r="H67">
        <v>3.2264542913488219</v>
      </c>
      <c r="I67">
        <v>0.25021482259439848</v>
      </c>
      <c r="J67">
        <v>0.78783840000000005</v>
      </c>
      <c r="K67">
        <v>0.38800000000000001</v>
      </c>
      <c r="L67">
        <v>14.8</v>
      </c>
      <c r="M67">
        <v>0.1675134357837478</v>
      </c>
      <c r="N67">
        <v>99</v>
      </c>
      <c r="O67">
        <v>5</v>
      </c>
      <c r="P67">
        <v>36.84046996058683</v>
      </c>
      <c r="Q67">
        <v>46.664010759579632</v>
      </c>
      <c r="R67">
        <v>13.613222624475791</v>
      </c>
      <c r="S67">
        <v>2.7004768462315138</v>
      </c>
      <c r="T67">
        <v>0.18181980912623891</v>
      </c>
      <c r="U67" t="s">
        <v>106</v>
      </c>
      <c r="V67">
        <v>2864.146501098754</v>
      </c>
      <c r="W67">
        <v>37.140723656167097</v>
      </c>
      <c r="X67">
        <v>3.06</v>
      </c>
      <c r="AA67">
        <v>-2.0299999999999998</v>
      </c>
      <c r="AD67">
        <v>760.54</v>
      </c>
      <c r="AF67">
        <v>72.67</v>
      </c>
      <c r="AH67">
        <v>4.3099999999999996</v>
      </c>
      <c r="AI67">
        <v>12.39</v>
      </c>
      <c r="AK67">
        <v>2864.146501098754</v>
      </c>
      <c r="AL67">
        <v>37.140723656167097</v>
      </c>
      <c r="AM67" t="s">
        <v>128</v>
      </c>
      <c r="AN67">
        <v>12.93033642062124</v>
      </c>
      <c r="AO67">
        <v>1</v>
      </c>
      <c r="AP67">
        <f t="shared" ref="AP67:AP130" si="1">(G67+I67)/C67</f>
        <v>4.4693785649954951E-2</v>
      </c>
    </row>
    <row r="68" spans="1:42" x14ac:dyDescent="0.2">
      <c r="A68" t="s">
        <v>107</v>
      </c>
      <c r="B68">
        <v>2019</v>
      </c>
      <c r="C68">
        <v>179.51558654362839</v>
      </c>
      <c r="D68">
        <v>78.931132619959016</v>
      </c>
      <c r="E68">
        <v>8.4052567683214026</v>
      </c>
      <c r="F68">
        <v>2.5341815986572822</v>
      </c>
      <c r="G68">
        <v>7.7352244608230123</v>
      </c>
      <c r="H68">
        <v>4.3784289400884973</v>
      </c>
      <c r="I68">
        <v>0.1393136480937249</v>
      </c>
      <c r="J68">
        <v>0.4895871</v>
      </c>
      <c r="K68">
        <v>0.35499999999999998</v>
      </c>
      <c r="L68">
        <v>12.2</v>
      </c>
      <c r="M68">
        <v>0.15757925173213899</v>
      </c>
      <c r="N68">
        <v>146</v>
      </c>
      <c r="O68">
        <v>7</v>
      </c>
      <c r="P68">
        <v>25.552461517283881</v>
      </c>
      <c r="Q68">
        <v>51.914551693333962</v>
      </c>
      <c r="R68">
        <v>21.391485578874921</v>
      </c>
      <c r="S68">
        <v>1.1262726704661461</v>
      </c>
      <c r="T68">
        <v>1.5228540041093201E-2</v>
      </c>
      <c r="U68" t="s">
        <v>119</v>
      </c>
      <c r="V68">
        <v>2534.8347747338321</v>
      </c>
      <c r="W68">
        <v>28.169218130778269</v>
      </c>
      <c r="AM68" t="s">
        <v>126</v>
      </c>
      <c r="AN68">
        <v>13.110431552207199</v>
      </c>
      <c r="AO68">
        <v>2</v>
      </c>
      <c r="AP68">
        <f t="shared" si="1"/>
        <v>4.3865484109386552E-2</v>
      </c>
    </row>
    <row r="69" spans="1:42" x14ac:dyDescent="0.2">
      <c r="A69" t="s">
        <v>108</v>
      </c>
      <c r="B69">
        <v>2019</v>
      </c>
      <c r="C69">
        <v>102.251585896823</v>
      </c>
      <c r="D69">
        <v>54.456660766656768</v>
      </c>
      <c r="E69">
        <v>5.0548442526582349</v>
      </c>
      <c r="F69">
        <v>2.398224829136574</v>
      </c>
      <c r="G69">
        <v>6.2660689138383221</v>
      </c>
      <c r="H69">
        <v>2.3820751669875069</v>
      </c>
      <c r="I69">
        <v>6.4598648596271305E-2</v>
      </c>
      <c r="J69">
        <v>0.34707120000000002</v>
      </c>
      <c r="K69">
        <v>0.35599999999999998</v>
      </c>
      <c r="L69">
        <v>15.5</v>
      </c>
      <c r="M69">
        <v>0.1547672695267952</v>
      </c>
      <c r="N69">
        <v>102</v>
      </c>
      <c r="O69">
        <v>5</v>
      </c>
      <c r="P69">
        <v>29.323463705877831</v>
      </c>
      <c r="Q69">
        <v>41.265623133371612</v>
      </c>
      <c r="R69">
        <v>26.27051017672186</v>
      </c>
      <c r="S69">
        <v>3.0382723720140938</v>
      </c>
      <c r="T69">
        <v>0.1021306120146193</v>
      </c>
      <c r="U69" t="s">
        <v>108</v>
      </c>
      <c r="V69">
        <v>2466.4558227886482</v>
      </c>
      <c r="W69">
        <v>37.00318726344647</v>
      </c>
      <c r="AK69">
        <v>2466.4558227886482</v>
      </c>
      <c r="AL69">
        <v>37.00318726344647</v>
      </c>
      <c r="AM69" t="s">
        <v>126</v>
      </c>
      <c r="AN69">
        <v>12.835232393671379</v>
      </c>
      <c r="AO69">
        <v>1</v>
      </c>
      <c r="AP69">
        <f t="shared" si="1"/>
        <v>6.1912658927584317E-2</v>
      </c>
    </row>
    <row r="70" spans="1:42" x14ac:dyDescent="0.2">
      <c r="A70" t="s">
        <v>109</v>
      </c>
      <c r="B70">
        <v>2019</v>
      </c>
      <c r="C70">
        <v>181.16147662494811</v>
      </c>
      <c r="D70">
        <v>82.937752038823348</v>
      </c>
      <c r="E70">
        <v>6.4095142314674609</v>
      </c>
      <c r="F70">
        <v>3.3750216614338702</v>
      </c>
      <c r="G70">
        <v>4.9944266738707483</v>
      </c>
      <c r="H70">
        <v>3.1555695803092458</v>
      </c>
      <c r="I70">
        <v>0.39350028339587712</v>
      </c>
      <c r="J70">
        <v>0.61300619999999995</v>
      </c>
      <c r="K70">
        <v>0.38300000000000001</v>
      </c>
      <c r="L70">
        <v>12.2</v>
      </c>
      <c r="M70">
        <v>0.17573468037710541</v>
      </c>
      <c r="N70">
        <v>103</v>
      </c>
      <c r="O70">
        <v>9</v>
      </c>
      <c r="P70">
        <v>33.958625508678281</v>
      </c>
      <c r="Q70">
        <v>43.274439969207577</v>
      </c>
      <c r="R70">
        <v>17.603172506443329</v>
      </c>
      <c r="S70">
        <v>4.9612214714574634</v>
      </c>
      <c r="T70">
        <v>0.20254054421334899</v>
      </c>
      <c r="U70" t="s">
        <v>109</v>
      </c>
      <c r="V70">
        <v>2189.6133751688458</v>
      </c>
      <c r="W70">
        <v>25.79178617058588</v>
      </c>
      <c r="X70">
        <v>3.59</v>
      </c>
      <c r="AA70">
        <v>-3.39</v>
      </c>
      <c r="AD70">
        <v>758.25</v>
      </c>
      <c r="AF70">
        <v>64.209999999999994</v>
      </c>
      <c r="AH70">
        <v>4.28</v>
      </c>
      <c r="AI70">
        <v>14.39</v>
      </c>
      <c r="AK70">
        <v>2189.6133751688458</v>
      </c>
      <c r="AL70">
        <v>25.79178617058588</v>
      </c>
      <c r="AM70" t="s">
        <v>124</v>
      </c>
      <c r="AN70">
        <v>13.34820540541317</v>
      </c>
      <c r="AO70">
        <v>3</v>
      </c>
      <c r="AP70">
        <f t="shared" si="1"/>
        <v>2.9741019214703415E-2</v>
      </c>
    </row>
    <row r="71" spans="1:42" x14ac:dyDescent="0.2">
      <c r="A71" t="s">
        <v>110</v>
      </c>
      <c r="B71">
        <v>2019</v>
      </c>
      <c r="C71">
        <v>198.44563354328039</v>
      </c>
      <c r="D71">
        <v>115.2998972335112</v>
      </c>
      <c r="E71">
        <v>10.05283801502144</v>
      </c>
      <c r="F71">
        <v>4.0285955681718573</v>
      </c>
      <c r="G71">
        <v>6.3413078387890343</v>
      </c>
      <c r="H71">
        <v>4.7186790682753692</v>
      </c>
      <c r="I71">
        <v>3.7301810816406003E-2</v>
      </c>
      <c r="J71">
        <v>0.47557890000000003</v>
      </c>
      <c r="K71">
        <v>0.33800000000000002</v>
      </c>
      <c r="L71">
        <v>19</v>
      </c>
      <c r="M71">
        <v>0.1525606818602927</v>
      </c>
      <c r="N71">
        <v>47</v>
      </c>
      <c r="O71">
        <v>7</v>
      </c>
      <c r="P71">
        <v>26.734179470069702</v>
      </c>
      <c r="Q71">
        <v>44.893889123267883</v>
      </c>
      <c r="R71">
        <v>22.411803340306928</v>
      </c>
      <c r="S71">
        <v>5.7039279409623349</v>
      </c>
      <c r="T71">
        <v>0.25620012539314979</v>
      </c>
      <c r="U71" t="s">
        <v>110</v>
      </c>
      <c r="V71">
        <v>2655.6613774872012</v>
      </c>
      <c r="W71">
        <v>31.57170523153475</v>
      </c>
      <c r="X71">
        <v>2.19</v>
      </c>
      <c r="Y71">
        <v>-5.25</v>
      </c>
      <c r="Z71">
        <v>8.5</v>
      </c>
      <c r="AA71">
        <v>-3.04</v>
      </c>
      <c r="AB71">
        <v>11.17</v>
      </c>
      <c r="AC71">
        <v>741.65</v>
      </c>
      <c r="AD71">
        <v>765.57</v>
      </c>
      <c r="AF71">
        <v>72.97</v>
      </c>
      <c r="AG71">
        <v>12</v>
      </c>
      <c r="AH71">
        <v>1.83</v>
      </c>
      <c r="AI71">
        <v>12.33</v>
      </c>
      <c r="AJ71">
        <v>12.62</v>
      </c>
      <c r="AK71">
        <v>2655.6613774872012</v>
      </c>
      <c r="AL71">
        <v>31.57170523153475</v>
      </c>
      <c r="AM71" t="s">
        <v>123</v>
      </c>
      <c r="AN71">
        <v>13.18956284308142</v>
      </c>
      <c r="AO71">
        <v>3</v>
      </c>
      <c r="AP71">
        <f t="shared" si="1"/>
        <v>3.214285714285714E-2</v>
      </c>
    </row>
    <row r="72" spans="1:42" x14ac:dyDescent="0.2">
      <c r="A72" t="s">
        <v>111</v>
      </c>
      <c r="B72">
        <v>2019</v>
      </c>
      <c r="C72">
        <v>124.4083555966931</v>
      </c>
      <c r="D72">
        <v>51.677039539125921</v>
      </c>
      <c r="E72">
        <v>8.4926328063252985</v>
      </c>
      <c r="F72">
        <v>2.4462148281489</v>
      </c>
      <c r="G72">
        <v>6.1786458067249868</v>
      </c>
      <c r="H72">
        <v>1.9894277840719561</v>
      </c>
      <c r="I72">
        <v>0.3125385038421199</v>
      </c>
      <c r="J72">
        <v>2.7164565999999999</v>
      </c>
      <c r="K72">
        <v>0.39900000000000002</v>
      </c>
      <c r="L72">
        <v>8.9</v>
      </c>
      <c r="M72">
        <v>0.1683299935236994</v>
      </c>
      <c r="N72">
        <v>94</v>
      </c>
      <c r="O72">
        <v>5</v>
      </c>
      <c r="P72">
        <v>37.88097354439946</v>
      </c>
      <c r="Q72">
        <v>44.815529259106661</v>
      </c>
      <c r="R72">
        <v>14.575064821575049</v>
      </c>
      <c r="S72">
        <v>2.5529228939875148</v>
      </c>
      <c r="T72">
        <v>0.17550948093131069</v>
      </c>
      <c r="U72" t="s">
        <v>120</v>
      </c>
      <c r="V72">
        <v>2314.4708953441459</v>
      </c>
      <c r="W72">
        <v>24.31917070821725</v>
      </c>
      <c r="AK72">
        <v>2314.4708953441459</v>
      </c>
      <c r="AL72">
        <v>24.31917070821725</v>
      </c>
      <c r="AM72" t="s">
        <v>128</v>
      </c>
      <c r="AN72">
        <v>13.159210470020531</v>
      </c>
      <c r="AO72">
        <v>3</v>
      </c>
      <c r="AP72">
        <f t="shared" si="1"/>
        <v>5.2176433644137397E-2</v>
      </c>
    </row>
    <row r="73" spans="1:42" x14ac:dyDescent="0.2">
      <c r="A73" t="s">
        <v>112</v>
      </c>
      <c r="B73">
        <v>2019</v>
      </c>
      <c r="C73">
        <v>191.5182120248476</v>
      </c>
      <c r="D73">
        <v>79.461918036178062</v>
      </c>
      <c r="E73">
        <v>16.29862651344903</v>
      </c>
      <c r="F73">
        <v>3.2539711538765852</v>
      </c>
      <c r="G73">
        <v>6.7553707067216804</v>
      </c>
      <c r="H73">
        <v>2.9317388203361978</v>
      </c>
      <c r="I73">
        <v>0.12083712507764501</v>
      </c>
      <c r="J73">
        <v>0.44554569999999999</v>
      </c>
      <c r="K73">
        <v>0.34699999999999998</v>
      </c>
      <c r="L73">
        <v>12.8</v>
      </c>
      <c r="M73">
        <v>0.16131178556897849</v>
      </c>
      <c r="N73">
        <v>337</v>
      </c>
      <c r="O73">
        <v>13</v>
      </c>
      <c r="P73">
        <v>30.871813646907139</v>
      </c>
      <c r="Q73">
        <v>52.316853390412327</v>
      </c>
      <c r="R73">
        <v>12.892513742400419</v>
      </c>
      <c r="S73">
        <v>3.6534114963299378</v>
      </c>
      <c r="T73">
        <v>0.26540772395017598</v>
      </c>
      <c r="U73" t="s">
        <v>112</v>
      </c>
      <c r="V73">
        <v>2298.4862900743051</v>
      </c>
      <c r="W73">
        <v>29.904622517940929</v>
      </c>
      <c r="X73">
        <v>3.66</v>
      </c>
      <c r="AA73">
        <v>-2.68</v>
      </c>
      <c r="AD73">
        <v>761.58</v>
      </c>
      <c r="AF73">
        <v>67.91</v>
      </c>
      <c r="AH73">
        <v>4.3</v>
      </c>
      <c r="AI73">
        <v>14.37</v>
      </c>
      <c r="AK73">
        <v>2298.4862900743051</v>
      </c>
      <c r="AL73">
        <v>29.904622517940929</v>
      </c>
      <c r="AM73" t="s">
        <v>128</v>
      </c>
      <c r="AN73">
        <v>13.33849640671321</v>
      </c>
      <c r="AO73">
        <v>3</v>
      </c>
      <c r="AP73">
        <f t="shared" si="1"/>
        <v>3.5903675995613435E-2</v>
      </c>
    </row>
    <row r="74" spans="1:42" x14ac:dyDescent="0.2">
      <c r="A74" t="s">
        <v>113</v>
      </c>
      <c r="B74">
        <v>2019</v>
      </c>
      <c r="C74">
        <v>101.60250777549361</v>
      </c>
      <c r="D74">
        <v>51.291692380629307</v>
      </c>
      <c r="E74">
        <v>7.8633638358829314</v>
      </c>
      <c r="F74">
        <v>1.822796398546668</v>
      </c>
      <c r="G74">
        <v>9.1957217415470875</v>
      </c>
      <c r="H74">
        <v>3.4902872743472062</v>
      </c>
      <c r="I74">
        <v>0.27791514596675643</v>
      </c>
      <c r="J74">
        <v>0.28074339999999998</v>
      </c>
      <c r="K74">
        <v>0.34300000000000003</v>
      </c>
      <c r="L74">
        <v>17.399999999999999</v>
      </c>
      <c r="M74">
        <v>0.1555137689586065</v>
      </c>
      <c r="N74">
        <v>104</v>
      </c>
      <c r="O74">
        <v>4</v>
      </c>
      <c r="P74">
        <v>33.881125240599737</v>
      </c>
      <c r="Q74">
        <v>44.249453042819873</v>
      </c>
      <c r="R74">
        <v>18.11677153720164</v>
      </c>
      <c r="S74">
        <v>3.6332382419330549</v>
      </c>
      <c r="T74">
        <v>0.11941193744570459</v>
      </c>
      <c r="U74" t="s">
        <v>121</v>
      </c>
      <c r="V74">
        <v>2572.281784075451</v>
      </c>
      <c r="W74">
        <v>35.597662083828773</v>
      </c>
      <c r="AM74" t="s">
        <v>126</v>
      </c>
      <c r="AN74">
        <v>13.56939382632485</v>
      </c>
      <c r="AO74">
        <v>3</v>
      </c>
      <c r="AP74">
        <f t="shared" si="1"/>
        <v>9.3242156074014482E-2</v>
      </c>
    </row>
    <row r="75" spans="1:42" x14ac:dyDescent="0.2">
      <c r="A75" t="s">
        <v>114</v>
      </c>
      <c r="B75">
        <v>2019</v>
      </c>
      <c r="C75">
        <v>156.05178905825261</v>
      </c>
      <c r="D75">
        <v>113.1627167106296</v>
      </c>
      <c r="E75">
        <v>6.040714415158166</v>
      </c>
      <c r="F75">
        <v>3.8257857962668389</v>
      </c>
      <c r="G75">
        <v>8.6583573283933717</v>
      </c>
      <c r="H75">
        <v>4.0271429434387773</v>
      </c>
      <c r="I75">
        <v>0</v>
      </c>
      <c r="J75">
        <v>1.9657937000000001</v>
      </c>
      <c r="K75">
        <v>0.41199999999999998</v>
      </c>
      <c r="L75">
        <v>8.1999999999999993</v>
      </c>
      <c r="M75">
        <v>0.16834379807892219</v>
      </c>
      <c r="N75">
        <v>13</v>
      </c>
      <c r="O75">
        <v>0</v>
      </c>
      <c r="P75">
        <v>35.212562683959113</v>
      </c>
      <c r="Q75">
        <v>48.085207386085592</v>
      </c>
      <c r="R75">
        <v>15.63459657655714</v>
      </c>
      <c r="S75">
        <v>0.86048172742006557</v>
      </c>
      <c r="T75">
        <v>0.20715162597809919</v>
      </c>
      <c r="U75" t="s">
        <v>114</v>
      </c>
      <c r="V75">
        <v>2202.7124237930789</v>
      </c>
      <c r="W75">
        <v>41.236758548865282</v>
      </c>
      <c r="AK75">
        <v>2202.7124237930789</v>
      </c>
      <c r="AL75">
        <v>41.236758548865282</v>
      </c>
      <c r="AM75" t="s">
        <v>124</v>
      </c>
      <c r="AN75">
        <v>13.03590337557662</v>
      </c>
      <c r="AO75">
        <v>2</v>
      </c>
      <c r="AP75">
        <f t="shared" si="1"/>
        <v>5.548387096774194E-2</v>
      </c>
    </row>
    <row r="76" spans="1:42" x14ac:dyDescent="0.2">
      <c r="A76" t="s">
        <v>115</v>
      </c>
      <c r="B76">
        <v>2019</v>
      </c>
      <c r="C76">
        <v>139.10050066576909</v>
      </c>
      <c r="D76">
        <v>65.561175964349488</v>
      </c>
      <c r="E76">
        <v>8.1997639797665283</v>
      </c>
      <c r="F76">
        <v>2.880998155053105</v>
      </c>
      <c r="G76">
        <v>5.060214708234299</v>
      </c>
      <c r="H76">
        <v>2.3454279852034889</v>
      </c>
      <c r="I76">
        <v>0.2216152426963926</v>
      </c>
      <c r="J76">
        <v>6.1893257999999998</v>
      </c>
      <c r="K76">
        <v>0.44500000000000001</v>
      </c>
      <c r="L76">
        <v>5.2</v>
      </c>
      <c r="M76">
        <v>0.17072607144395749</v>
      </c>
      <c r="N76">
        <v>33</v>
      </c>
      <c r="O76">
        <v>0</v>
      </c>
      <c r="P76">
        <v>45.950526693396981</v>
      </c>
      <c r="Q76">
        <v>38.017401928248049</v>
      </c>
      <c r="R76">
        <v>14.884591854832371</v>
      </c>
      <c r="S76">
        <v>1.026965733411787</v>
      </c>
      <c r="T76">
        <v>0.1205137901108202</v>
      </c>
      <c r="U76" t="s">
        <v>115</v>
      </c>
      <c r="V76">
        <v>2793.1172701328301</v>
      </c>
      <c r="W76">
        <v>24.984769416059152</v>
      </c>
      <c r="AK76">
        <v>2793.1172701328301</v>
      </c>
      <c r="AL76">
        <v>24.984769416059152</v>
      </c>
      <c r="AM76" t="s">
        <v>128</v>
      </c>
      <c r="AN76">
        <v>0</v>
      </c>
      <c r="AO76">
        <v>1</v>
      </c>
      <c r="AP76">
        <f t="shared" si="1"/>
        <v>3.7971322357939465E-2</v>
      </c>
    </row>
    <row r="77" spans="1:42" x14ac:dyDescent="0.2">
      <c r="A77" t="s">
        <v>116</v>
      </c>
      <c r="B77">
        <v>2019</v>
      </c>
      <c r="C77">
        <v>140.59091212214551</v>
      </c>
      <c r="D77">
        <v>49.054788299889182</v>
      </c>
      <c r="E77">
        <v>7.0894846984627016</v>
      </c>
      <c r="F77">
        <v>2.0879445416525089</v>
      </c>
      <c r="G77">
        <v>5.7557406566466502</v>
      </c>
      <c r="H77">
        <v>2.476953220515524</v>
      </c>
      <c r="I77">
        <v>0.2064127683762936</v>
      </c>
      <c r="J77">
        <v>0.49136279999999999</v>
      </c>
      <c r="K77">
        <v>0.35899999999999999</v>
      </c>
      <c r="L77">
        <v>10.199999999999999</v>
      </c>
      <c r="M77">
        <v>0.14848679994951039</v>
      </c>
      <c r="N77">
        <v>131</v>
      </c>
      <c r="O77">
        <v>8</v>
      </c>
      <c r="P77">
        <v>27.755442164892148</v>
      </c>
      <c r="Q77">
        <v>52.024275841483622</v>
      </c>
      <c r="R77">
        <v>15.15327587490963</v>
      </c>
      <c r="S77">
        <v>4.7978120092255869</v>
      </c>
      <c r="T77">
        <v>0.26919410948902112</v>
      </c>
      <c r="U77" t="s">
        <v>116</v>
      </c>
      <c r="V77">
        <v>2988.503585032362</v>
      </c>
      <c r="W77">
        <v>30.336838672832322</v>
      </c>
      <c r="X77">
        <v>11.76</v>
      </c>
      <c r="AA77">
        <v>5.21</v>
      </c>
      <c r="AD77">
        <v>762.03</v>
      </c>
      <c r="AF77">
        <v>69.709999999999994</v>
      </c>
      <c r="AH77">
        <v>4.6500000000000004</v>
      </c>
      <c r="AI77">
        <v>13.44</v>
      </c>
      <c r="AK77">
        <v>2988.503585032362</v>
      </c>
      <c r="AL77">
        <v>30.336838672832322</v>
      </c>
      <c r="AM77" t="s">
        <v>127</v>
      </c>
      <c r="AN77">
        <v>0</v>
      </c>
      <c r="AO77">
        <v>1</v>
      </c>
      <c r="AP77">
        <f t="shared" si="1"/>
        <v>4.240781523519116E-2</v>
      </c>
    </row>
    <row r="78" spans="1:42" x14ac:dyDescent="0.2">
      <c r="AP78" t="e">
        <f t="shared" si="1"/>
        <v>#DIV/0!</v>
      </c>
    </row>
    <row r="79" spans="1:42" x14ac:dyDescent="0.2">
      <c r="AP79" t="e">
        <f t="shared" si="1"/>
        <v>#DIV/0!</v>
      </c>
    </row>
    <row r="80" spans="1:42" x14ac:dyDescent="0.2">
      <c r="AP80" t="e">
        <f t="shared" si="1"/>
        <v>#DIV/0!</v>
      </c>
    </row>
    <row r="81" spans="42:42" x14ac:dyDescent="0.2">
      <c r="AP81" t="e">
        <f t="shared" si="1"/>
        <v>#DIV/0!</v>
      </c>
    </row>
    <row r="82" spans="42:42" x14ac:dyDescent="0.2">
      <c r="AP82" t="e">
        <f t="shared" si="1"/>
        <v>#DIV/0!</v>
      </c>
    </row>
    <row r="83" spans="42:42" x14ac:dyDescent="0.2">
      <c r="AP83" t="e">
        <f t="shared" si="1"/>
        <v>#DIV/0!</v>
      </c>
    </row>
    <row r="84" spans="42:42" x14ac:dyDescent="0.2">
      <c r="AP84" t="e">
        <f t="shared" si="1"/>
        <v>#DIV/0!</v>
      </c>
    </row>
    <row r="85" spans="42:42" x14ac:dyDescent="0.2">
      <c r="AP85" t="e">
        <f t="shared" si="1"/>
        <v>#DIV/0!</v>
      </c>
    </row>
    <row r="86" spans="42:42" x14ac:dyDescent="0.2">
      <c r="AP86" t="e">
        <f t="shared" si="1"/>
        <v>#DIV/0!</v>
      </c>
    </row>
    <row r="87" spans="42:42" x14ac:dyDescent="0.2">
      <c r="AP87" t="e">
        <f t="shared" si="1"/>
        <v>#DIV/0!</v>
      </c>
    </row>
    <row r="88" spans="42:42" x14ac:dyDescent="0.2">
      <c r="AP88" t="e">
        <f t="shared" si="1"/>
        <v>#DIV/0!</v>
      </c>
    </row>
    <row r="89" spans="42:42" x14ac:dyDescent="0.2">
      <c r="AP89" t="e">
        <f t="shared" si="1"/>
        <v>#DIV/0!</v>
      </c>
    </row>
    <row r="90" spans="42:42" x14ac:dyDescent="0.2">
      <c r="AP90" t="e">
        <f t="shared" si="1"/>
        <v>#DIV/0!</v>
      </c>
    </row>
    <row r="91" spans="42:42" x14ac:dyDescent="0.2">
      <c r="AP91" t="e">
        <f t="shared" si="1"/>
        <v>#DIV/0!</v>
      </c>
    </row>
    <row r="92" spans="42:42" x14ac:dyDescent="0.2">
      <c r="AP92" t="e">
        <f t="shared" si="1"/>
        <v>#DIV/0!</v>
      </c>
    </row>
    <row r="93" spans="42:42" x14ac:dyDescent="0.2">
      <c r="AP93" t="e">
        <f t="shared" si="1"/>
        <v>#DIV/0!</v>
      </c>
    </row>
    <row r="94" spans="42:42" x14ac:dyDescent="0.2">
      <c r="AP94" t="e">
        <f t="shared" si="1"/>
        <v>#DIV/0!</v>
      </c>
    </row>
    <row r="95" spans="42:42" x14ac:dyDescent="0.2">
      <c r="AP95" t="e">
        <f t="shared" si="1"/>
        <v>#DIV/0!</v>
      </c>
    </row>
    <row r="96" spans="42:42" x14ac:dyDescent="0.2">
      <c r="AP96" t="e">
        <f t="shared" si="1"/>
        <v>#DIV/0!</v>
      </c>
    </row>
    <row r="97" spans="42:42" x14ac:dyDescent="0.2">
      <c r="AP97" t="e">
        <f t="shared" si="1"/>
        <v>#DIV/0!</v>
      </c>
    </row>
    <row r="98" spans="42:42" x14ac:dyDescent="0.2">
      <c r="AP98" t="e">
        <f t="shared" si="1"/>
        <v>#DIV/0!</v>
      </c>
    </row>
    <row r="99" spans="42:42" x14ac:dyDescent="0.2">
      <c r="AP99" t="e">
        <f t="shared" si="1"/>
        <v>#DIV/0!</v>
      </c>
    </row>
    <row r="100" spans="42:42" x14ac:dyDescent="0.2">
      <c r="AP100" t="e">
        <f t="shared" si="1"/>
        <v>#DIV/0!</v>
      </c>
    </row>
    <row r="101" spans="42:42" x14ac:dyDescent="0.2">
      <c r="AP101" t="e">
        <f t="shared" si="1"/>
        <v>#DIV/0!</v>
      </c>
    </row>
    <row r="102" spans="42:42" x14ac:dyDescent="0.2">
      <c r="AP102" t="e">
        <f t="shared" si="1"/>
        <v>#DIV/0!</v>
      </c>
    </row>
    <row r="103" spans="42:42" x14ac:dyDescent="0.2">
      <c r="AP103" t="e">
        <f t="shared" si="1"/>
        <v>#DIV/0!</v>
      </c>
    </row>
    <row r="104" spans="42:42" x14ac:dyDescent="0.2">
      <c r="AP104" t="e">
        <f t="shared" si="1"/>
        <v>#DIV/0!</v>
      </c>
    </row>
    <row r="105" spans="42:42" x14ac:dyDescent="0.2">
      <c r="AP105" t="e">
        <f t="shared" si="1"/>
        <v>#DIV/0!</v>
      </c>
    </row>
    <row r="106" spans="42:42" x14ac:dyDescent="0.2">
      <c r="AP106" t="e">
        <f t="shared" si="1"/>
        <v>#DIV/0!</v>
      </c>
    </row>
    <row r="107" spans="42:42" x14ac:dyDescent="0.2">
      <c r="AP107" t="e">
        <f t="shared" si="1"/>
        <v>#DIV/0!</v>
      </c>
    </row>
    <row r="108" spans="42:42" x14ac:dyDescent="0.2">
      <c r="AP108" t="e">
        <f t="shared" si="1"/>
        <v>#DIV/0!</v>
      </c>
    </row>
    <row r="109" spans="42:42" x14ac:dyDescent="0.2">
      <c r="AP109" t="e">
        <f t="shared" si="1"/>
        <v>#DIV/0!</v>
      </c>
    </row>
    <row r="110" spans="42:42" x14ac:dyDescent="0.2">
      <c r="AP110" t="e">
        <f t="shared" si="1"/>
        <v>#DIV/0!</v>
      </c>
    </row>
    <row r="111" spans="42:42" x14ac:dyDescent="0.2">
      <c r="AP111" t="e">
        <f t="shared" si="1"/>
        <v>#DIV/0!</v>
      </c>
    </row>
    <row r="112" spans="42:42" x14ac:dyDescent="0.2">
      <c r="AP112" t="e">
        <f t="shared" si="1"/>
        <v>#DIV/0!</v>
      </c>
    </row>
    <row r="113" spans="42:42" x14ac:dyDescent="0.2">
      <c r="AP113" t="e">
        <f t="shared" si="1"/>
        <v>#DIV/0!</v>
      </c>
    </row>
    <row r="114" spans="42:42" x14ac:dyDescent="0.2">
      <c r="AP114" t="e">
        <f t="shared" si="1"/>
        <v>#DIV/0!</v>
      </c>
    </row>
    <row r="115" spans="42:42" x14ac:dyDescent="0.2">
      <c r="AP115" t="e">
        <f t="shared" si="1"/>
        <v>#DIV/0!</v>
      </c>
    </row>
    <row r="116" spans="42:42" x14ac:dyDescent="0.2">
      <c r="AP116" t="e">
        <f t="shared" si="1"/>
        <v>#DIV/0!</v>
      </c>
    </row>
    <row r="117" spans="42:42" x14ac:dyDescent="0.2">
      <c r="AP117" t="e">
        <f t="shared" si="1"/>
        <v>#DIV/0!</v>
      </c>
    </row>
    <row r="118" spans="42:42" x14ac:dyDescent="0.2">
      <c r="AP118" t="e">
        <f t="shared" si="1"/>
        <v>#DIV/0!</v>
      </c>
    </row>
    <row r="119" spans="42:42" x14ac:dyDescent="0.2">
      <c r="AP119" t="e">
        <f t="shared" si="1"/>
        <v>#DIV/0!</v>
      </c>
    </row>
    <row r="120" spans="42:42" x14ac:dyDescent="0.2">
      <c r="AP120" t="e">
        <f t="shared" si="1"/>
        <v>#DIV/0!</v>
      </c>
    </row>
    <row r="121" spans="42:42" x14ac:dyDescent="0.2">
      <c r="AP121" t="e">
        <f t="shared" si="1"/>
        <v>#DIV/0!</v>
      </c>
    </row>
    <row r="122" spans="42:42" x14ac:dyDescent="0.2">
      <c r="AP122" t="e">
        <f t="shared" si="1"/>
        <v>#DIV/0!</v>
      </c>
    </row>
    <row r="123" spans="42:42" x14ac:dyDescent="0.2">
      <c r="AP123" t="e">
        <f t="shared" si="1"/>
        <v>#DIV/0!</v>
      </c>
    </row>
    <row r="124" spans="42:42" x14ac:dyDescent="0.2">
      <c r="AP124" t="e">
        <f t="shared" si="1"/>
        <v>#DIV/0!</v>
      </c>
    </row>
    <row r="125" spans="42:42" x14ac:dyDescent="0.2">
      <c r="AP125" t="e">
        <f t="shared" si="1"/>
        <v>#DIV/0!</v>
      </c>
    </row>
    <row r="126" spans="42:42" x14ac:dyDescent="0.2">
      <c r="AP126" t="e">
        <f t="shared" si="1"/>
        <v>#DIV/0!</v>
      </c>
    </row>
    <row r="127" spans="42:42" x14ac:dyDescent="0.2">
      <c r="AP127" t="e">
        <f t="shared" si="1"/>
        <v>#DIV/0!</v>
      </c>
    </row>
    <row r="128" spans="42:42" x14ac:dyDescent="0.2">
      <c r="AP128" t="e">
        <f t="shared" si="1"/>
        <v>#DIV/0!</v>
      </c>
    </row>
    <row r="129" spans="42:42" x14ac:dyDescent="0.2">
      <c r="AP129" t="e">
        <f t="shared" si="1"/>
        <v>#DIV/0!</v>
      </c>
    </row>
    <row r="130" spans="42:42" x14ac:dyDescent="0.2">
      <c r="AP130" t="e">
        <f t="shared" si="1"/>
        <v>#DIV/0!</v>
      </c>
    </row>
    <row r="131" spans="42:42" x14ac:dyDescent="0.2">
      <c r="AP131" t="e">
        <f t="shared" ref="AP131:AP194" si="2">(G131+I131)/C131</f>
        <v>#DIV/0!</v>
      </c>
    </row>
    <row r="132" spans="42:42" x14ac:dyDescent="0.2">
      <c r="AP132" t="e">
        <f t="shared" si="2"/>
        <v>#DIV/0!</v>
      </c>
    </row>
    <row r="133" spans="42:42" x14ac:dyDescent="0.2">
      <c r="AP133" t="e">
        <f t="shared" si="2"/>
        <v>#DIV/0!</v>
      </c>
    </row>
    <row r="134" spans="42:42" x14ac:dyDescent="0.2">
      <c r="AP134" t="e">
        <f t="shared" si="2"/>
        <v>#DIV/0!</v>
      </c>
    </row>
    <row r="135" spans="42:42" x14ac:dyDescent="0.2">
      <c r="AP135" t="e">
        <f t="shared" si="2"/>
        <v>#DIV/0!</v>
      </c>
    </row>
    <row r="136" spans="42:42" x14ac:dyDescent="0.2">
      <c r="AP136" t="e">
        <f t="shared" si="2"/>
        <v>#DIV/0!</v>
      </c>
    </row>
    <row r="137" spans="42:42" x14ac:dyDescent="0.2">
      <c r="AP137" t="e">
        <f t="shared" si="2"/>
        <v>#DIV/0!</v>
      </c>
    </row>
    <row r="138" spans="42:42" x14ac:dyDescent="0.2">
      <c r="AP138" t="e">
        <f t="shared" si="2"/>
        <v>#DIV/0!</v>
      </c>
    </row>
    <row r="139" spans="42:42" x14ac:dyDescent="0.2">
      <c r="AP139" t="e">
        <f t="shared" si="2"/>
        <v>#DIV/0!</v>
      </c>
    </row>
    <row r="140" spans="42:42" x14ac:dyDescent="0.2">
      <c r="AP140" t="e">
        <f t="shared" si="2"/>
        <v>#DIV/0!</v>
      </c>
    </row>
    <row r="141" spans="42:42" x14ac:dyDescent="0.2">
      <c r="AP141" t="e">
        <f t="shared" si="2"/>
        <v>#DIV/0!</v>
      </c>
    </row>
    <row r="142" spans="42:42" x14ac:dyDescent="0.2">
      <c r="AP142" t="e">
        <f t="shared" si="2"/>
        <v>#DIV/0!</v>
      </c>
    </row>
    <row r="143" spans="42:42" x14ac:dyDescent="0.2">
      <c r="AP143" t="e">
        <f t="shared" si="2"/>
        <v>#DIV/0!</v>
      </c>
    </row>
    <row r="144" spans="42:42" x14ac:dyDescent="0.2">
      <c r="AP144" t="e">
        <f t="shared" si="2"/>
        <v>#DIV/0!</v>
      </c>
    </row>
    <row r="145" spans="42:42" x14ac:dyDescent="0.2">
      <c r="AP145" t="e">
        <f t="shared" si="2"/>
        <v>#DIV/0!</v>
      </c>
    </row>
    <row r="146" spans="42:42" x14ac:dyDescent="0.2">
      <c r="AP146" t="e">
        <f t="shared" si="2"/>
        <v>#DIV/0!</v>
      </c>
    </row>
    <row r="147" spans="42:42" x14ac:dyDescent="0.2">
      <c r="AP147" t="e">
        <f t="shared" si="2"/>
        <v>#DIV/0!</v>
      </c>
    </row>
    <row r="148" spans="42:42" x14ac:dyDescent="0.2">
      <c r="AP148" t="e">
        <f t="shared" si="2"/>
        <v>#DIV/0!</v>
      </c>
    </row>
    <row r="149" spans="42:42" x14ac:dyDescent="0.2">
      <c r="AP149" t="e">
        <f t="shared" si="2"/>
        <v>#DIV/0!</v>
      </c>
    </row>
    <row r="150" spans="42:42" x14ac:dyDescent="0.2">
      <c r="AP150" t="e">
        <f t="shared" si="2"/>
        <v>#DIV/0!</v>
      </c>
    </row>
    <row r="151" spans="42:42" x14ac:dyDescent="0.2">
      <c r="AP151" t="e">
        <f t="shared" si="2"/>
        <v>#DIV/0!</v>
      </c>
    </row>
    <row r="152" spans="42:42" x14ac:dyDescent="0.2">
      <c r="AP152" t="e">
        <f t="shared" si="2"/>
        <v>#DIV/0!</v>
      </c>
    </row>
    <row r="153" spans="42:42" x14ac:dyDescent="0.2">
      <c r="AP153" t="e">
        <f t="shared" si="2"/>
        <v>#DIV/0!</v>
      </c>
    </row>
    <row r="154" spans="42:42" x14ac:dyDescent="0.2">
      <c r="AP154" t="e">
        <f t="shared" si="2"/>
        <v>#DIV/0!</v>
      </c>
    </row>
    <row r="155" spans="42:42" x14ac:dyDescent="0.2">
      <c r="AP155" t="e">
        <f t="shared" si="2"/>
        <v>#DIV/0!</v>
      </c>
    </row>
    <row r="156" spans="42:42" x14ac:dyDescent="0.2">
      <c r="AP156" t="e">
        <f t="shared" si="2"/>
        <v>#DIV/0!</v>
      </c>
    </row>
    <row r="157" spans="42:42" x14ac:dyDescent="0.2">
      <c r="AP157" t="e">
        <f t="shared" si="2"/>
        <v>#DIV/0!</v>
      </c>
    </row>
    <row r="158" spans="42:42" x14ac:dyDescent="0.2">
      <c r="AP158" t="e">
        <f t="shared" si="2"/>
        <v>#DIV/0!</v>
      </c>
    </row>
    <row r="159" spans="42:42" x14ac:dyDescent="0.2">
      <c r="AP159" t="e">
        <f t="shared" si="2"/>
        <v>#DIV/0!</v>
      </c>
    </row>
    <row r="160" spans="42:42" x14ac:dyDescent="0.2">
      <c r="AP160" t="e">
        <f t="shared" si="2"/>
        <v>#DIV/0!</v>
      </c>
    </row>
    <row r="161" spans="42:42" x14ac:dyDescent="0.2">
      <c r="AP161" t="e">
        <f t="shared" si="2"/>
        <v>#DIV/0!</v>
      </c>
    </row>
    <row r="162" spans="42:42" x14ac:dyDescent="0.2">
      <c r="AP162" t="e">
        <f t="shared" si="2"/>
        <v>#DIV/0!</v>
      </c>
    </row>
    <row r="163" spans="42:42" x14ac:dyDescent="0.2">
      <c r="AP163" t="e">
        <f t="shared" si="2"/>
        <v>#DIV/0!</v>
      </c>
    </row>
    <row r="164" spans="42:42" x14ac:dyDescent="0.2">
      <c r="AP164" t="e">
        <f t="shared" si="2"/>
        <v>#DIV/0!</v>
      </c>
    </row>
    <row r="165" spans="42:42" x14ac:dyDescent="0.2">
      <c r="AP165" t="e">
        <f t="shared" si="2"/>
        <v>#DIV/0!</v>
      </c>
    </row>
    <row r="166" spans="42:42" x14ac:dyDescent="0.2">
      <c r="AP166" t="e">
        <f t="shared" si="2"/>
        <v>#DIV/0!</v>
      </c>
    </row>
    <row r="167" spans="42:42" x14ac:dyDescent="0.2">
      <c r="AP167" t="e">
        <f t="shared" si="2"/>
        <v>#DIV/0!</v>
      </c>
    </row>
    <row r="168" spans="42:42" x14ac:dyDescent="0.2">
      <c r="AP168" t="e">
        <f t="shared" si="2"/>
        <v>#DIV/0!</v>
      </c>
    </row>
    <row r="169" spans="42:42" x14ac:dyDescent="0.2">
      <c r="AP169" t="e">
        <f t="shared" si="2"/>
        <v>#DIV/0!</v>
      </c>
    </row>
    <row r="170" spans="42:42" x14ac:dyDescent="0.2">
      <c r="AP170" t="e">
        <f t="shared" si="2"/>
        <v>#DIV/0!</v>
      </c>
    </row>
    <row r="171" spans="42:42" x14ac:dyDescent="0.2">
      <c r="AP171" t="e">
        <f t="shared" si="2"/>
        <v>#DIV/0!</v>
      </c>
    </row>
    <row r="172" spans="42:42" x14ac:dyDescent="0.2">
      <c r="AP172" t="e">
        <f t="shared" si="2"/>
        <v>#DIV/0!</v>
      </c>
    </row>
    <row r="173" spans="42:42" x14ac:dyDescent="0.2">
      <c r="AP173" t="e">
        <f t="shared" si="2"/>
        <v>#DIV/0!</v>
      </c>
    </row>
    <row r="174" spans="42:42" x14ac:dyDescent="0.2">
      <c r="AP174" t="e">
        <f t="shared" si="2"/>
        <v>#DIV/0!</v>
      </c>
    </row>
    <row r="175" spans="42:42" x14ac:dyDescent="0.2">
      <c r="AP175" t="e">
        <f t="shared" si="2"/>
        <v>#DIV/0!</v>
      </c>
    </row>
    <row r="176" spans="42:42" x14ac:dyDescent="0.2">
      <c r="AP176" t="e">
        <f t="shared" si="2"/>
        <v>#DIV/0!</v>
      </c>
    </row>
    <row r="177" spans="42:42" x14ac:dyDescent="0.2">
      <c r="AP177" t="e">
        <f t="shared" si="2"/>
        <v>#DIV/0!</v>
      </c>
    </row>
    <row r="178" spans="42:42" x14ac:dyDescent="0.2">
      <c r="AP178" t="e">
        <f t="shared" si="2"/>
        <v>#DIV/0!</v>
      </c>
    </row>
    <row r="179" spans="42:42" x14ac:dyDescent="0.2">
      <c r="AP179" t="e">
        <f t="shared" si="2"/>
        <v>#DIV/0!</v>
      </c>
    </row>
    <row r="180" spans="42:42" x14ac:dyDescent="0.2">
      <c r="AP180" t="e">
        <f t="shared" si="2"/>
        <v>#DIV/0!</v>
      </c>
    </row>
    <row r="181" spans="42:42" x14ac:dyDescent="0.2">
      <c r="AP181" t="e">
        <f t="shared" si="2"/>
        <v>#DIV/0!</v>
      </c>
    </row>
    <row r="182" spans="42:42" x14ac:dyDescent="0.2">
      <c r="AP182" t="e">
        <f t="shared" si="2"/>
        <v>#DIV/0!</v>
      </c>
    </row>
    <row r="183" spans="42:42" x14ac:dyDescent="0.2">
      <c r="AP183" t="e">
        <f t="shared" si="2"/>
        <v>#DIV/0!</v>
      </c>
    </row>
    <row r="184" spans="42:42" x14ac:dyDescent="0.2">
      <c r="AP184" t="e">
        <f t="shared" si="2"/>
        <v>#DIV/0!</v>
      </c>
    </row>
    <row r="185" spans="42:42" x14ac:dyDescent="0.2">
      <c r="AP185" t="e">
        <f t="shared" si="2"/>
        <v>#DIV/0!</v>
      </c>
    </row>
    <row r="186" spans="42:42" x14ac:dyDescent="0.2">
      <c r="AP186" t="e">
        <f t="shared" si="2"/>
        <v>#DIV/0!</v>
      </c>
    </row>
    <row r="187" spans="42:42" x14ac:dyDescent="0.2">
      <c r="AP187" t="e">
        <f t="shared" si="2"/>
        <v>#DIV/0!</v>
      </c>
    </row>
    <row r="188" spans="42:42" x14ac:dyDescent="0.2">
      <c r="AP188" t="e">
        <f t="shared" si="2"/>
        <v>#DIV/0!</v>
      </c>
    </row>
    <row r="189" spans="42:42" x14ac:dyDescent="0.2">
      <c r="AP189" t="e">
        <f t="shared" si="2"/>
        <v>#DIV/0!</v>
      </c>
    </row>
    <row r="190" spans="42:42" x14ac:dyDescent="0.2">
      <c r="AP190" t="e">
        <f t="shared" si="2"/>
        <v>#DIV/0!</v>
      </c>
    </row>
    <row r="191" spans="42:42" x14ac:dyDescent="0.2">
      <c r="AP191" t="e">
        <f t="shared" si="2"/>
        <v>#DIV/0!</v>
      </c>
    </row>
    <row r="192" spans="42:42" x14ac:dyDescent="0.2">
      <c r="AP192" t="e">
        <f t="shared" si="2"/>
        <v>#DIV/0!</v>
      </c>
    </row>
    <row r="193" spans="42:42" x14ac:dyDescent="0.2">
      <c r="AP193" t="e">
        <f t="shared" si="2"/>
        <v>#DIV/0!</v>
      </c>
    </row>
    <row r="194" spans="42:42" x14ac:dyDescent="0.2">
      <c r="AP194" t="e">
        <f t="shared" si="2"/>
        <v>#DIV/0!</v>
      </c>
    </row>
    <row r="195" spans="42:42" x14ac:dyDescent="0.2">
      <c r="AP195" t="e">
        <f t="shared" ref="AP195:AP258" si="3">(G195+I195)/C195</f>
        <v>#DIV/0!</v>
      </c>
    </row>
    <row r="196" spans="42:42" x14ac:dyDescent="0.2">
      <c r="AP196" t="e">
        <f t="shared" si="3"/>
        <v>#DIV/0!</v>
      </c>
    </row>
    <row r="197" spans="42:42" x14ac:dyDescent="0.2">
      <c r="AP197" t="e">
        <f t="shared" si="3"/>
        <v>#DIV/0!</v>
      </c>
    </row>
    <row r="198" spans="42:42" x14ac:dyDescent="0.2">
      <c r="AP198" t="e">
        <f t="shared" si="3"/>
        <v>#DIV/0!</v>
      </c>
    </row>
    <row r="199" spans="42:42" x14ac:dyDescent="0.2">
      <c r="AP199" t="e">
        <f t="shared" si="3"/>
        <v>#DIV/0!</v>
      </c>
    </row>
    <row r="200" spans="42:42" x14ac:dyDescent="0.2">
      <c r="AP200" t="e">
        <f t="shared" si="3"/>
        <v>#DIV/0!</v>
      </c>
    </row>
    <row r="201" spans="42:42" x14ac:dyDescent="0.2">
      <c r="AP201" t="e">
        <f t="shared" si="3"/>
        <v>#DIV/0!</v>
      </c>
    </row>
    <row r="202" spans="42:42" x14ac:dyDescent="0.2">
      <c r="AP202" t="e">
        <f t="shared" si="3"/>
        <v>#DIV/0!</v>
      </c>
    </row>
    <row r="203" spans="42:42" x14ac:dyDescent="0.2">
      <c r="AP203" t="e">
        <f t="shared" si="3"/>
        <v>#DIV/0!</v>
      </c>
    </row>
    <row r="204" spans="42:42" x14ac:dyDescent="0.2">
      <c r="AP204" t="e">
        <f t="shared" si="3"/>
        <v>#DIV/0!</v>
      </c>
    </row>
    <row r="205" spans="42:42" x14ac:dyDescent="0.2">
      <c r="AP205" t="e">
        <f t="shared" si="3"/>
        <v>#DIV/0!</v>
      </c>
    </row>
    <row r="206" spans="42:42" x14ac:dyDescent="0.2">
      <c r="AP206" t="e">
        <f t="shared" si="3"/>
        <v>#DIV/0!</v>
      </c>
    </row>
    <row r="207" spans="42:42" x14ac:dyDescent="0.2">
      <c r="AP207" t="e">
        <f t="shared" si="3"/>
        <v>#DIV/0!</v>
      </c>
    </row>
    <row r="208" spans="42:42" x14ac:dyDescent="0.2">
      <c r="AP208" t="e">
        <f t="shared" si="3"/>
        <v>#DIV/0!</v>
      </c>
    </row>
    <row r="209" spans="42:42" x14ac:dyDescent="0.2">
      <c r="AP209" t="e">
        <f t="shared" si="3"/>
        <v>#DIV/0!</v>
      </c>
    </row>
    <row r="210" spans="42:42" x14ac:dyDescent="0.2">
      <c r="AP210" t="e">
        <f t="shared" si="3"/>
        <v>#DIV/0!</v>
      </c>
    </row>
    <row r="211" spans="42:42" x14ac:dyDescent="0.2">
      <c r="AP211" t="e">
        <f t="shared" si="3"/>
        <v>#DIV/0!</v>
      </c>
    </row>
    <row r="212" spans="42:42" x14ac:dyDescent="0.2">
      <c r="AP212" t="e">
        <f t="shared" si="3"/>
        <v>#DIV/0!</v>
      </c>
    </row>
    <row r="213" spans="42:42" x14ac:dyDescent="0.2">
      <c r="AP213" t="e">
        <f t="shared" si="3"/>
        <v>#DIV/0!</v>
      </c>
    </row>
    <row r="214" spans="42:42" x14ac:dyDescent="0.2">
      <c r="AP214" t="e">
        <f t="shared" si="3"/>
        <v>#DIV/0!</v>
      </c>
    </row>
    <row r="215" spans="42:42" x14ac:dyDescent="0.2">
      <c r="AP215" t="e">
        <f t="shared" si="3"/>
        <v>#DIV/0!</v>
      </c>
    </row>
    <row r="216" spans="42:42" x14ac:dyDescent="0.2">
      <c r="AP216" t="e">
        <f t="shared" si="3"/>
        <v>#DIV/0!</v>
      </c>
    </row>
    <row r="217" spans="42:42" x14ac:dyDescent="0.2">
      <c r="AP217" t="e">
        <f t="shared" si="3"/>
        <v>#DIV/0!</v>
      </c>
    </row>
    <row r="218" spans="42:42" x14ac:dyDescent="0.2">
      <c r="AP218" t="e">
        <f t="shared" si="3"/>
        <v>#DIV/0!</v>
      </c>
    </row>
    <row r="219" spans="42:42" x14ac:dyDescent="0.2">
      <c r="AP219" t="e">
        <f t="shared" si="3"/>
        <v>#DIV/0!</v>
      </c>
    </row>
    <row r="220" spans="42:42" x14ac:dyDescent="0.2">
      <c r="AP220" t="e">
        <f t="shared" si="3"/>
        <v>#DIV/0!</v>
      </c>
    </row>
    <row r="221" spans="42:42" x14ac:dyDescent="0.2">
      <c r="AP221" t="e">
        <f t="shared" si="3"/>
        <v>#DIV/0!</v>
      </c>
    </row>
    <row r="222" spans="42:42" x14ac:dyDescent="0.2">
      <c r="AP222" t="e">
        <f t="shared" si="3"/>
        <v>#DIV/0!</v>
      </c>
    </row>
    <row r="223" spans="42:42" x14ac:dyDescent="0.2">
      <c r="AP223" t="e">
        <f t="shared" si="3"/>
        <v>#DIV/0!</v>
      </c>
    </row>
    <row r="224" spans="42:42" x14ac:dyDescent="0.2">
      <c r="AP224" t="e">
        <f t="shared" si="3"/>
        <v>#DIV/0!</v>
      </c>
    </row>
    <row r="225" spans="42:42" x14ac:dyDescent="0.2">
      <c r="AP225" t="e">
        <f t="shared" si="3"/>
        <v>#DIV/0!</v>
      </c>
    </row>
    <row r="226" spans="42:42" x14ac:dyDescent="0.2">
      <c r="AP226" t="e">
        <f t="shared" si="3"/>
        <v>#DIV/0!</v>
      </c>
    </row>
    <row r="227" spans="42:42" x14ac:dyDescent="0.2">
      <c r="AP227" t="e">
        <f t="shared" si="3"/>
        <v>#DIV/0!</v>
      </c>
    </row>
    <row r="228" spans="42:42" x14ac:dyDescent="0.2">
      <c r="AP228" t="e">
        <f t="shared" si="3"/>
        <v>#DIV/0!</v>
      </c>
    </row>
    <row r="229" spans="42:42" x14ac:dyDescent="0.2">
      <c r="AP229" t="e">
        <f t="shared" si="3"/>
        <v>#DIV/0!</v>
      </c>
    </row>
    <row r="230" spans="42:42" x14ac:dyDescent="0.2">
      <c r="AP230" t="e">
        <f t="shared" si="3"/>
        <v>#DIV/0!</v>
      </c>
    </row>
    <row r="231" spans="42:42" x14ac:dyDescent="0.2">
      <c r="AP231" t="e">
        <f t="shared" si="3"/>
        <v>#DIV/0!</v>
      </c>
    </row>
    <row r="232" spans="42:42" x14ac:dyDescent="0.2">
      <c r="AP232" t="e">
        <f t="shared" si="3"/>
        <v>#DIV/0!</v>
      </c>
    </row>
    <row r="233" spans="42:42" x14ac:dyDescent="0.2">
      <c r="AP233" t="e">
        <f t="shared" si="3"/>
        <v>#DIV/0!</v>
      </c>
    </row>
    <row r="234" spans="42:42" x14ac:dyDescent="0.2">
      <c r="AP234" t="e">
        <f t="shared" si="3"/>
        <v>#DIV/0!</v>
      </c>
    </row>
    <row r="235" spans="42:42" x14ac:dyDescent="0.2">
      <c r="AP235" t="e">
        <f t="shared" si="3"/>
        <v>#DIV/0!</v>
      </c>
    </row>
    <row r="236" spans="42:42" x14ac:dyDescent="0.2">
      <c r="AP236" t="e">
        <f t="shared" si="3"/>
        <v>#DIV/0!</v>
      </c>
    </row>
    <row r="237" spans="42:42" x14ac:dyDescent="0.2">
      <c r="AP237" t="e">
        <f t="shared" si="3"/>
        <v>#DIV/0!</v>
      </c>
    </row>
    <row r="238" spans="42:42" x14ac:dyDescent="0.2">
      <c r="AP238" t="e">
        <f t="shared" si="3"/>
        <v>#DIV/0!</v>
      </c>
    </row>
    <row r="239" spans="42:42" x14ac:dyDescent="0.2">
      <c r="AP239" t="e">
        <f t="shared" si="3"/>
        <v>#DIV/0!</v>
      </c>
    </row>
    <row r="240" spans="42:42" x14ac:dyDescent="0.2">
      <c r="AP240" t="e">
        <f t="shared" si="3"/>
        <v>#DIV/0!</v>
      </c>
    </row>
    <row r="241" spans="42:42" x14ac:dyDescent="0.2">
      <c r="AP241" t="e">
        <f t="shared" si="3"/>
        <v>#DIV/0!</v>
      </c>
    </row>
    <row r="242" spans="42:42" x14ac:dyDescent="0.2">
      <c r="AP242" t="e">
        <f t="shared" si="3"/>
        <v>#DIV/0!</v>
      </c>
    </row>
    <row r="243" spans="42:42" x14ac:dyDescent="0.2">
      <c r="AP243" t="e">
        <f t="shared" si="3"/>
        <v>#DIV/0!</v>
      </c>
    </row>
    <row r="244" spans="42:42" x14ac:dyDescent="0.2">
      <c r="AP244" t="e">
        <f t="shared" si="3"/>
        <v>#DIV/0!</v>
      </c>
    </row>
    <row r="245" spans="42:42" x14ac:dyDescent="0.2">
      <c r="AP245" t="e">
        <f t="shared" si="3"/>
        <v>#DIV/0!</v>
      </c>
    </row>
    <row r="246" spans="42:42" x14ac:dyDescent="0.2">
      <c r="AP246" t="e">
        <f t="shared" si="3"/>
        <v>#DIV/0!</v>
      </c>
    </row>
    <row r="247" spans="42:42" x14ac:dyDescent="0.2">
      <c r="AP247" t="e">
        <f t="shared" si="3"/>
        <v>#DIV/0!</v>
      </c>
    </row>
    <row r="248" spans="42:42" x14ac:dyDescent="0.2">
      <c r="AP248" t="e">
        <f t="shared" si="3"/>
        <v>#DIV/0!</v>
      </c>
    </row>
    <row r="249" spans="42:42" x14ac:dyDescent="0.2">
      <c r="AP249" t="e">
        <f t="shared" si="3"/>
        <v>#DIV/0!</v>
      </c>
    </row>
    <row r="250" spans="42:42" x14ac:dyDescent="0.2">
      <c r="AP250" t="e">
        <f t="shared" si="3"/>
        <v>#DIV/0!</v>
      </c>
    </row>
    <row r="251" spans="42:42" x14ac:dyDescent="0.2">
      <c r="AP251" t="e">
        <f t="shared" si="3"/>
        <v>#DIV/0!</v>
      </c>
    </row>
    <row r="252" spans="42:42" x14ac:dyDescent="0.2">
      <c r="AP252" t="e">
        <f t="shared" si="3"/>
        <v>#DIV/0!</v>
      </c>
    </row>
    <row r="253" spans="42:42" x14ac:dyDescent="0.2">
      <c r="AP253" t="e">
        <f t="shared" si="3"/>
        <v>#DIV/0!</v>
      </c>
    </row>
    <row r="254" spans="42:42" x14ac:dyDescent="0.2">
      <c r="AP254" t="e">
        <f t="shared" si="3"/>
        <v>#DIV/0!</v>
      </c>
    </row>
    <row r="255" spans="42:42" x14ac:dyDescent="0.2">
      <c r="AP255" t="e">
        <f t="shared" si="3"/>
        <v>#DIV/0!</v>
      </c>
    </row>
    <row r="256" spans="42:42" x14ac:dyDescent="0.2">
      <c r="AP256" t="e">
        <f t="shared" si="3"/>
        <v>#DIV/0!</v>
      </c>
    </row>
    <row r="257" spans="42:42" x14ac:dyDescent="0.2">
      <c r="AP257" t="e">
        <f t="shared" si="3"/>
        <v>#DIV/0!</v>
      </c>
    </row>
    <row r="258" spans="42:42" x14ac:dyDescent="0.2">
      <c r="AP258" t="e">
        <f t="shared" si="3"/>
        <v>#DIV/0!</v>
      </c>
    </row>
    <row r="259" spans="42:42" x14ac:dyDescent="0.2">
      <c r="AP259" t="e">
        <f t="shared" ref="AP259:AP322" si="4">(G259+I259)/C259</f>
        <v>#DIV/0!</v>
      </c>
    </row>
    <row r="260" spans="42:42" x14ac:dyDescent="0.2">
      <c r="AP260" t="e">
        <f t="shared" si="4"/>
        <v>#DIV/0!</v>
      </c>
    </row>
    <row r="261" spans="42:42" x14ac:dyDescent="0.2">
      <c r="AP261" t="e">
        <f t="shared" si="4"/>
        <v>#DIV/0!</v>
      </c>
    </row>
    <row r="262" spans="42:42" x14ac:dyDescent="0.2">
      <c r="AP262" t="e">
        <f t="shared" si="4"/>
        <v>#DIV/0!</v>
      </c>
    </row>
    <row r="263" spans="42:42" x14ac:dyDescent="0.2">
      <c r="AP263" t="e">
        <f t="shared" si="4"/>
        <v>#DIV/0!</v>
      </c>
    </row>
    <row r="264" spans="42:42" x14ac:dyDescent="0.2">
      <c r="AP264" t="e">
        <f t="shared" si="4"/>
        <v>#DIV/0!</v>
      </c>
    </row>
    <row r="265" spans="42:42" x14ac:dyDescent="0.2">
      <c r="AP265" t="e">
        <f t="shared" si="4"/>
        <v>#DIV/0!</v>
      </c>
    </row>
    <row r="266" spans="42:42" x14ac:dyDescent="0.2">
      <c r="AP266" t="e">
        <f t="shared" si="4"/>
        <v>#DIV/0!</v>
      </c>
    </row>
    <row r="267" spans="42:42" x14ac:dyDescent="0.2">
      <c r="AP267" t="e">
        <f t="shared" si="4"/>
        <v>#DIV/0!</v>
      </c>
    </row>
    <row r="268" spans="42:42" x14ac:dyDescent="0.2">
      <c r="AP268" t="e">
        <f t="shared" si="4"/>
        <v>#DIV/0!</v>
      </c>
    </row>
    <row r="269" spans="42:42" x14ac:dyDescent="0.2">
      <c r="AP269" t="e">
        <f t="shared" si="4"/>
        <v>#DIV/0!</v>
      </c>
    </row>
    <row r="270" spans="42:42" x14ac:dyDescent="0.2">
      <c r="AP270" t="e">
        <f t="shared" si="4"/>
        <v>#DIV/0!</v>
      </c>
    </row>
    <row r="271" spans="42:42" x14ac:dyDescent="0.2">
      <c r="AP271" t="e">
        <f t="shared" si="4"/>
        <v>#DIV/0!</v>
      </c>
    </row>
    <row r="272" spans="42:42" x14ac:dyDescent="0.2">
      <c r="AP272" t="e">
        <f t="shared" si="4"/>
        <v>#DIV/0!</v>
      </c>
    </row>
    <row r="273" spans="42:42" x14ac:dyDescent="0.2">
      <c r="AP273" t="e">
        <f t="shared" si="4"/>
        <v>#DIV/0!</v>
      </c>
    </row>
    <row r="274" spans="42:42" x14ac:dyDescent="0.2">
      <c r="AP274" t="e">
        <f t="shared" si="4"/>
        <v>#DIV/0!</v>
      </c>
    </row>
    <row r="275" spans="42:42" x14ac:dyDescent="0.2">
      <c r="AP275" t="e">
        <f t="shared" si="4"/>
        <v>#DIV/0!</v>
      </c>
    </row>
    <row r="276" spans="42:42" x14ac:dyDescent="0.2">
      <c r="AP276" t="e">
        <f t="shared" si="4"/>
        <v>#DIV/0!</v>
      </c>
    </row>
    <row r="277" spans="42:42" x14ac:dyDescent="0.2">
      <c r="AP277" t="e">
        <f t="shared" si="4"/>
        <v>#DIV/0!</v>
      </c>
    </row>
    <row r="278" spans="42:42" x14ac:dyDescent="0.2">
      <c r="AP278" t="e">
        <f t="shared" si="4"/>
        <v>#DIV/0!</v>
      </c>
    </row>
    <row r="279" spans="42:42" x14ac:dyDescent="0.2">
      <c r="AP279" t="e">
        <f t="shared" si="4"/>
        <v>#DIV/0!</v>
      </c>
    </row>
    <row r="280" spans="42:42" x14ac:dyDescent="0.2">
      <c r="AP280" t="e">
        <f t="shared" si="4"/>
        <v>#DIV/0!</v>
      </c>
    </row>
    <row r="281" spans="42:42" x14ac:dyDescent="0.2">
      <c r="AP281" t="e">
        <f t="shared" si="4"/>
        <v>#DIV/0!</v>
      </c>
    </row>
    <row r="282" spans="42:42" x14ac:dyDescent="0.2">
      <c r="AP282" t="e">
        <f t="shared" si="4"/>
        <v>#DIV/0!</v>
      </c>
    </row>
    <row r="283" spans="42:42" x14ac:dyDescent="0.2">
      <c r="AP283" t="e">
        <f t="shared" si="4"/>
        <v>#DIV/0!</v>
      </c>
    </row>
    <row r="284" spans="42:42" x14ac:dyDescent="0.2">
      <c r="AP284" t="e">
        <f t="shared" si="4"/>
        <v>#DIV/0!</v>
      </c>
    </row>
    <row r="285" spans="42:42" x14ac:dyDescent="0.2">
      <c r="AP285" t="e">
        <f t="shared" si="4"/>
        <v>#DIV/0!</v>
      </c>
    </row>
    <row r="286" spans="42:42" x14ac:dyDescent="0.2">
      <c r="AP286" t="e">
        <f t="shared" si="4"/>
        <v>#DIV/0!</v>
      </c>
    </row>
    <row r="287" spans="42:42" x14ac:dyDescent="0.2">
      <c r="AP287" t="e">
        <f t="shared" si="4"/>
        <v>#DIV/0!</v>
      </c>
    </row>
    <row r="288" spans="42:42" x14ac:dyDescent="0.2">
      <c r="AP288" t="e">
        <f t="shared" si="4"/>
        <v>#DIV/0!</v>
      </c>
    </row>
    <row r="289" spans="42:42" x14ac:dyDescent="0.2">
      <c r="AP289" t="e">
        <f t="shared" si="4"/>
        <v>#DIV/0!</v>
      </c>
    </row>
    <row r="290" spans="42:42" x14ac:dyDescent="0.2">
      <c r="AP290" t="e">
        <f t="shared" si="4"/>
        <v>#DIV/0!</v>
      </c>
    </row>
    <row r="291" spans="42:42" x14ac:dyDescent="0.2">
      <c r="AP291" t="e">
        <f t="shared" si="4"/>
        <v>#DIV/0!</v>
      </c>
    </row>
    <row r="292" spans="42:42" x14ac:dyDescent="0.2">
      <c r="AP292" t="e">
        <f t="shared" si="4"/>
        <v>#DIV/0!</v>
      </c>
    </row>
    <row r="293" spans="42:42" x14ac:dyDescent="0.2">
      <c r="AP293" t="e">
        <f t="shared" si="4"/>
        <v>#DIV/0!</v>
      </c>
    </row>
    <row r="294" spans="42:42" x14ac:dyDescent="0.2">
      <c r="AP294" t="e">
        <f t="shared" si="4"/>
        <v>#DIV/0!</v>
      </c>
    </row>
    <row r="295" spans="42:42" x14ac:dyDescent="0.2">
      <c r="AP295" t="e">
        <f t="shared" si="4"/>
        <v>#DIV/0!</v>
      </c>
    </row>
    <row r="296" spans="42:42" x14ac:dyDescent="0.2">
      <c r="AP296" t="e">
        <f t="shared" si="4"/>
        <v>#DIV/0!</v>
      </c>
    </row>
    <row r="297" spans="42:42" x14ac:dyDescent="0.2">
      <c r="AP297" t="e">
        <f t="shared" si="4"/>
        <v>#DIV/0!</v>
      </c>
    </row>
    <row r="298" spans="42:42" x14ac:dyDescent="0.2">
      <c r="AP298" t="e">
        <f t="shared" si="4"/>
        <v>#DIV/0!</v>
      </c>
    </row>
    <row r="299" spans="42:42" x14ac:dyDescent="0.2">
      <c r="AP299" t="e">
        <f t="shared" si="4"/>
        <v>#DIV/0!</v>
      </c>
    </row>
    <row r="300" spans="42:42" x14ac:dyDescent="0.2">
      <c r="AP300" t="e">
        <f t="shared" si="4"/>
        <v>#DIV/0!</v>
      </c>
    </row>
    <row r="301" spans="42:42" x14ac:dyDescent="0.2">
      <c r="AP301" t="e">
        <f t="shared" si="4"/>
        <v>#DIV/0!</v>
      </c>
    </row>
    <row r="302" spans="42:42" x14ac:dyDescent="0.2">
      <c r="AP302" t="e">
        <f t="shared" si="4"/>
        <v>#DIV/0!</v>
      </c>
    </row>
    <row r="303" spans="42:42" x14ac:dyDescent="0.2">
      <c r="AP303" t="e">
        <f t="shared" si="4"/>
        <v>#DIV/0!</v>
      </c>
    </row>
    <row r="304" spans="42:42" x14ac:dyDescent="0.2">
      <c r="AP304" t="e">
        <f t="shared" si="4"/>
        <v>#DIV/0!</v>
      </c>
    </row>
    <row r="305" spans="42:42" x14ac:dyDescent="0.2">
      <c r="AP305" t="e">
        <f t="shared" si="4"/>
        <v>#DIV/0!</v>
      </c>
    </row>
    <row r="306" spans="42:42" x14ac:dyDescent="0.2">
      <c r="AP306" t="e">
        <f t="shared" si="4"/>
        <v>#DIV/0!</v>
      </c>
    </row>
    <row r="307" spans="42:42" x14ac:dyDescent="0.2">
      <c r="AP307" t="e">
        <f t="shared" si="4"/>
        <v>#DIV/0!</v>
      </c>
    </row>
    <row r="308" spans="42:42" x14ac:dyDescent="0.2">
      <c r="AP308" t="e">
        <f t="shared" si="4"/>
        <v>#DIV/0!</v>
      </c>
    </row>
    <row r="309" spans="42:42" x14ac:dyDescent="0.2">
      <c r="AP309" t="e">
        <f t="shared" si="4"/>
        <v>#DIV/0!</v>
      </c>
    </row>
    <row r="310" spans="42:42" x14ac:dyDescent="0.2">
      <c r="AP310" t="e">
        <f t="shared" si="4"/>
        <v>#DIV/0!</v>
      </c>
    </row>
    <row r="311" spans="42:42" x14ac:dyDescent="0.2">
      <c r="AP311" t="e">
        <f t="shared" si="4"/>
        <v>#DIV/0!</v>
      </c>
    </row>
    <row r="312" spans="42:42" x14ac:dyDescent="0.2">
      <c r="AP312" t="e">
        <f t="shared" si="4"/>
        <v>#DIV/0!</v>
      </c>
    </row>
    <row r="313" spans="42:42" x14ac:dyDescent="0.2">
      <c r="AP313" t="e">
        <f t="shared" si="4"/>
        <v>#DIV/0!</v>
      </c>
    </row>
    <row r="314" spans="42:42" x14ac:dyDescent="0.2">
      <c r="AP314" t="e">
        <f t="shared" si="4"/>
        <v>#DIV/0!</v>
      </c>
    </row>
    <row r="315" spans="42:42" x14ac:dyDescent="0.2">
      <c r="AP315" t="e">
        <f t="shared" si="4"/>
        <v>#DIV/0!</v>
      </c>
    </row>
    <row r="316" spans="42:42" x14ac:dyDescent="0.2">
      <c r="AP316" t="e">
        <f t="shared" si="4"/>
        <v>#DIV/0!</v>
      </c>
    </row>
    <row r="317" spans="42:42" x14ac:dyDescent="0.2">
      <c r="AP317" t="e">
        <f t="shared" si="4"/>
        <v>#DIV/0!</v>
      </c>
    </row>
    <row r="318" spans="42:42" x14ac:dyDescent="0.2">
      <c r="AP318" t="e">
        <f t="shared" si="4"/>
        <v>#DIV/0!</v>
      </c>
    </row>
    <row r="319" spans="42:42" x14ac:dyDescent="0.2">
      <c r="AP319" t="e">
        <f t="shared" si="4"/>
        <v>#DIV/0!</v>
      </c>
    </row>
    <row r="320" spans="42:42" x14ac:dyDescent="0.2">
      <c r="AP320" t="e">
        <f t="shared" si="4"/>
        <v>#DIV/0!</v>
      </c>
    </row>
    <row r="321" spans="42:42" x14ac:dyDescent="0.2">
      <c r="AP321" t="e">
        <f t="shared" si="4"/>
        <v>#DIV/0!</v>
      </c>
    </row>
    <row r="322" spans="42:42" x14ac:dyDescent="0.2">
      <c r="AP322" t="e">
        <f t="shared" si="4"/>
        <v>#DIV/0!</v>
      </c>
    </row>
    <row r="323" spans="42:42" x14ac:dyDescent="0.2">
      <c r="AP323" t="e">
        <f t="shared" ref="AP323:AP386" si="5">(G323+I323)/C323</f>
        <v>#DIV/0!</v>
      </c>
    </row>
    <row r="324" spans="42:42" x14ac:dyDescent="0.2">
      <c r="AP324" t="e">
        <f t="shared" si="5"/>
        <v>#DIV/0!</v>
      </c>
    </row>
    <row r="325" spans="42:42" x14ac:dyDescent="0.2">
      <c r="AP325" t="e">
        <f t="shared" si="5"/>
        <v>#DIV/0!</v>
      </c>
    </row>
    <row r="326" spans="42:42" x14ac:dyDescent="0.2">
      <c r="AP326" t="e">
        <f t="shared" si="5"/>
        <v>#DIV/0!</v>
      </c>
    </row>
    <row r="327" spans="42:42" x14ac:dyDescent="0.2">
      <c r="AP327" t="e">
        <f t="shared" si="5"/>
        <v>#DIV/0!</v>
      </c>
    </row>
    <row r="328" spans="42:42" x14ac:dyDescent="0.2">
      <c r="AP328" t="e">
        <f t="shared" si="5"/>
        <v>#DIV/0!</v>
      </c>
    </row>
    <row r="329" spans="42:42" x14ac:dyDescent="0.2">
      <c r="AP329" t="e">
        <f t="shared" si="5"/>
        <v>#DIV/0!</v>
      </c>
    </row>
    <row r="330" spans="42:42" x14ac:dyDescent="0.2">
      <c r="AP330" t="e">
        <f t="shared" si="5"/>
        <v>#DIV/0!</v>
      </c>
    </row>
    <row r="331" spans="42:42" x14ac:dyDescent="0.2">
      <c r="AP331" t="e">
        <f t="shared" si="5"/>
        <v>#DIV/0!</v>
      </c>
    </row>
    <row r="332" spans="42:42" x14ac:dyDescent="0.2">
      <c r="AP332" t="e">
        <f t="shared" si="5"/>
        <v>#DIV/0!</v>
      </c>
    </row>
    <row r="333" spans="42:42" x14ac:dyDescent="0.2">
      <c r="AP333" t="e">
        <f t="shared" si="5"/>
        <v>#DIV/0!</v>
      </c>
    </row>
    <row r="334" spans="42:42" x14ac:dyDescent="0.2">
      <c r="AP334" t="e">
        <f t="shared" si="5"/>
        <v>#DIV/0!</v>
      </c>
    </row>
    <row r="335" spans="42:42" x14ac:dyDescent="0.2">
      <c r="AP335" t="e">
        <f t="shared" si="5"/>
        <v>#DIV/0!</v>
      </c>
    </row>
    <row r="336" spans="42:42" x14ac:dyDescent="0.2">
      <c r="AP336" t="e">
        <f t="shared" si="5"/>
        <v>#DIV/0!</v>
      </c>
    </row>
    <row r="337" spans="42:42" x14ac:dyDescent="0.2">
      <c r="AP337" t="e">
        <f t="shared" si="5"/>
        <v>#DIV/0!</v>
      </c>
    </row>
    <row r="338" spans="42:42" x14ac:dyDescent="0.2">
      <c r="AP338" t="e">
        <f t="shared" si="5"/>
        <v>#DIV/0!</v>
      </c>
    </row>
    <row r="339" spans="42:42" x14ac:dyDescent="0.2">
      <c r="AP339" t="e">
        <f t="shared" si="5"/>
        <v>#DIV/0!</v>
      </c>
    </row>
    <row r="340" spans="42:42" x14ac:dyDescent="0.2">
      <c r="AP340" t="e">
        <f t="shared" si="5"/>
        <v>#DIV/0!</v>
      </c>
    </row>
    <row r="341" spans="42:42" x14ac:dyDescent="0.2">
      <c r="AP341" t="e">
        <f t="shared" si="5"/>
        <v>#DIV/0!</v>
      </c>
    </row>
    <row r="342" spans="42:42" x14ac:dyDescent="0.2">
      <c r="AP342" t="e">
        <f t="shared" si="5"/>
        <v>#DIV/0!</v>
      </c>
    </row>
    <row r="343" spans="42:42" x14ac:dyDescent="0.2">
      <c r="AP343" t="e">
        <f t="shared" si="5"/>
        <v>#DIV/0!</v>
      </c>
    </row>
    <row r="344" spans="42:42" x14ac:dyDescent="0.2">
      <c r="AP344" t="e">
        <f t="shared" si="5"/>
        <v>#DIV/0!</v>
      </c>
    </row>
    <row r="345" spans="42:42" x14ac:dyDescent="0.2">
      <c r="AP345" t="e">
        <f t="shared" si="5"/>
        <v>#DIV/0!</v>
      </c>
    </row>
    <row r="346" spans="42:42" x14ac:dyDescent="0.2">
      <c r="AP346" t="e">
        <f t="shared" si="5"/>
        <v>#DIV/0!</v>
      </c>
    </row>
    <row r="347" spans="42:42" x14ac:dyDescent="0.2">
      <c r="AP347" t="e">
        <f t="shared" si="5"/>
        <v>#DIV/0!</v>
      </c>
    </row>
    <row r="348" spans="42:42" x14ac:dyDescent="0.2">
      <c r="AP348" t="e">
        <f t="shared" si="5"/>
        <v>#DIV/0!</v>
      </c>
    </row>
    <row r="349" spans="42:42" x14ac:dyDescent="0.2">
      <c r="AP349" t="e">
        <f t="shared" si="5"/>
        <v>#DIV/0!</v>
      </c>
    </row>
    <row r="350" spans="42:42" x14ac:dyDescent="0.2">
      <c r="AP350" t="e">
        <f t="shared" si="5"/>
        <v>#DIV/0!</v>
      </c>
    </row>
    <row r="351" spans="42:42" x14ac:dyDescent="0.2">
      <c r="AP351" t="e">
        <f t="shared" si="5"/>
        <v>#DIV/0!</v>
      </c>
    </row>
    <row r="352" spans="42:42" x14ac:dyDescent="0.2">
      <c r="AP352" t="e">
        <f t="shared" si="5"/>
        <v>#DIV/0!</v>
      </c>
    </row>
    <row r="353" spans="42:42" x14ac:dyDescent="0.2">
      <c r="AP353" t="e">
        <f t="shared" si="5"/>
        <v>#DIV/0!</v>
      </c>
    </row>
    <row r="354" spans="42:42" x14ac:dyDescent="0.2">
      <c r="AP354" t="e">
        <f t="shared" si="5"/>
        <v>#DIV/0!</v>
      </c>
    </row>
    <row r="355" spans="42:42" x14ac:dyDescent="0.2">
      <c r="AP355" t="e">
        <f t="shared" si="5"/>
        <v>#DIV/0!</v>
      </c>
    </row>
    <row r="356" spans="42:42" x14ac:dyDescent="0.2">
      <c r="AP356" t="e">
        <f t="shared" si="5"/>
        <v>#DIV/0!</v>
      </c>
    </row>
    <row r="357" spans="42:42" x14ac:dyDescent="0.2">
      <c r="AP357" t="e">
        <f t="shared" si="5"/>
        <v>#DIV/0!</v>
      </c>
    </row>
    <row r="358" spans="42:42" x14ac:dyDescent="0.2">
      <c r="AP358" t="e">
        <f t="shared" si="5"/>
        <v>#DIV/0!</v>
      </c>
    </row>
    <row r="359" spans="42:42" x14ac:dyDescent="0.2">
      <c r="AP359" t="e">
        <f t="shared" si="5"/>
        <v>#DIV/0!</v>
      </c>
    </row>
    <row r="360" spans="42:42" x14ac:dyDescent="0.2">
      <c r="AP360" t="e">
        <f t="shared" si="5"/>
        <v>#DIV/0!</v>
      </c>
    </row>
    <row r="361" spans="42:42" x14ac:dyDescent="0.2">
      <c r="AP361" t="e">
        <f t="shared" si="5"/>
        <v>#DIV/0!</v>
      </c>
    </row>
    <row r="362" spans="42:42" x14ac:dyDescent="0.2">
      <c r="AP362" t="e">
        <f t="shared" si="5"/>
        <v>#DIV/0!</v>
      </c>
    </row>
    <row r="363" spans="42:42" x14ac:dyDescent="0.2">
      <c r="AP363" t="e">
        <f t="shared" si="5"/>
        <v>#DIV/0!</v>
      </c>
    </row>
    <row r="364" spans="42:42" x14ac:dyDescent="0.2">
      <c r="AP364" t="e">
        <f t="shared" si="5"/>
        <v>#DIV/0!</v>
      </c>
    </row>
    <row r="365" spans="42:42" x14ac:dyDescent="0.2">
      <c r="AP365" t="e">
        <f t="shared" si="5"/>
        <v>#DIV/0!</v>
      </c>
    </row>
    <row r="366" spans="42:42" x14ac:dyDescent="0.2">
      <c r="AP366" t="e">
        <f t="shared" si="5"/>
        <v>#DIV/0!</v>
      </c>
    </row>
    <row r="367" spans="42:42" x14ac:dyDescent="0.2">
      <c r="AP367" t="e">
        <f t="shared" si="5"/>
        <v>#DIV/0!</v>
      </c>
    </row>
    <row r="368" spans="42:42" x14ac:dyDescent="0.2">
      <c r="AP368" t="e">
        <f t="shared" si="5"/>
        <v>#DIV/0!</v>
      </c>
    </row>
    <row r="369" spans="42:42" x14ac:dyDescent="0.2">
      <c r="AP369" t="e">
        <f t="shared" si="5"/>
        <v>#DIV/0!</v>
      </c>
    </row>
    <row r="370" spans="42:42" x14ac:dyDescent="0.2">
      <c r="AP370" t="e">
        <f t="shared" si="5"/>
        <v>#DIV/0!</v>
      </c>
    </row>
    <row r="371" spans="42:42" x14ac:dyDescent="0.2">
      <c r="AP371" t="e">
        <f t="shared" si="5"/>
        <v>#DIV/0!</v>
      </c>
    </row>
    <row r="372" spans="42:42" x14ac:dyDescent="0.2">
      <c r="AP372" t="e">
        <f t="shared" si="5"/>
        <v>#DIV/0!</v>
      </c>
    </row>
    <row r="373" spans="42:42" x14ac:dyDescent="0.2">
      <c r="AP373" t="e">
        <f t="shared" si="5"/>
        <v>#DIV/0!</v>
      </c>
    </row>
    <row r="374" spans="42:42" x14ac:dyDescent="0.2">
      <c r="AP374" t="e">
        <f t="shared" si="5"/>
        <v>#DIV/0!</v>
      </c>
    </row>
    <row r="375" spans="42:42" x14ac:dyDescent="0.2">
      <c r="AP375" t="e">
        <f t="shared" si="5"/>
        <v>#DIV/0!</v>
      </c>
    </row>
    <row r="376" spans="42:42" x14ac:dyDescent="0.2">
      <c r="AP376" t="e">
        <f t="shared" si="5"/>
        <v>#DIV/0!</v>
      </c>
    </row>
    <row r="377" spans="42:42" x14ac:dyDescent="0.2">
      <c r="AP377" t="e">
        <f t="shared" si="5"/>
        <v>#DIV/0!</v>
      </c>
    </row>
    <row r="378" spans="42:42" x14ac:dyDescent="0.2">
      <c r="AP378" t="e">
        <f t="shared" si="5"/>
        <v>#DIV/0!</v>
      </c>
    </row>
    <row r="379" spans="42:42" x14ac:dyDescent="0.2">
      <c r="AP379" t="e">
        <f t="shared" si="5"/>
        <v>#DIV/0!</v>
      </c>
    </row>
    <row r="380" spans="42:42" x14ac:dyDescent="0.2">
      <c r="AP380" t="e">
        <f t="shared" si="5"/>
        <v>#DIV/0!</v>
      </c>
    </row>
    <row r="381" spans="42:42" x14ac:dyDescent="0.2">
      <c r="AP381" t="e">
        <f t="shared" si="5"/>
        <v>#DIV/0!</v>
      </c>
    </row>
    <row r="382" spans="42:42" x14ac:dyDescent="0.2">
      <c r="AP382" t="e">
        <f t="shared" si="5"/>
        <v>#DIV/0!</v>
      </c>
    </row>
    <row r="383" spans="42:42" x14ac:dyDescent="0.2">
      <c r="AP383" t="e">
        <f t="shared" si="5"/>
        <v>#DIV/0!</v>
      </c>
    </row>
    <row r="384" spans="42:42" x14ac:dyDescent="0.2">
      <c r="AP384" t="e">
        <f t="shared" si="5"/>
        <v>#DIV/0!</v>
      </c>
    </row>
    <row r="385" spans="42:42" x14ac:dyDescent="0.2">
      <c r="AP385" t="e">
        <f t="shared" si="5"/>
        <v>#DIV/0!</v>
      </c>
    </row>
    <row r="386" spans="42:42" x14ac:dyDescent="0.2">
      <c r="AP386" t="e">
        <f t="shared" si="5"/>
        <v>#DIV/0!</v>
      </c>
    </row>
    <row r="387" spans="42:42" x14ac:dyDescent="0.2">
      <c r="AP387" t="e">
        <f t="shared" ref="AP387:AP450" si="6">(G387+I387)/C387</f>
        <v>#DIV/0!</v>
      </c>
    </row>
    <row r="388" spans="42:42" x14ac:dyDescent="0.2">
      <c r="AP388" t="e">
        <f t="shared" si="6"/>
        <v>#DIV/0!</v>
      </c>
    </row>
    <row r="389" spans="42:42" x14ac:dyDescent="0.2">
      <c r="AP389" t="e">
        <f t="shared" si="6"/>
        <v>#DIV/0!</v>
      </c>
    </row>
    <row r="390" spans="42:42" x14ac:dyDescent="0.2">
      <c r="AP390" t="e">
        <f t="shared" si="6"/>
        <v>#DIV/0!</v>
      </c>
    </row>
    <row r="391" spans="42:42" x14ac:dyDescent="0.2">
      <c r="AP391" t="e">
        <f t="shared" si="6"/>
        <v>#DIV/0!</v>
      </c>
    </row>
    <row r="392" spans="42:42" x14ac:dyDescent="0.2">
      <c r="AP392" t="e">
        <f t="shared" si="6"/>
        <v>#DIV/0!</v>
      </c>
    </row>
    <row r="393" spans="42:42" x14ac:dyDescent="0.2">
      <c r="AP393" t="e">
        <f t="shared" si="6"/>
        <v>#DIV/0!</v>
      </c>
    </row>
    <row r="394" spans="42:42" x14ac:dyDescent="0.2">
      <c r="AP394" t="e">
        <f t="shared" si="6"/>
        <v>#DIV/0!</v>
      </c>
    </row>
    <row r="395" spans="42:42" x14ac:dyDescent="0.2">
      <c r="AP395" t="e">
        <f t="shared" si="6"/>
        <v>#DIV/0!</v>
      </c>
    </row>
    <row r="396" spans="42:42" x14ac:dyDescent="0.2">
      <c r="AP396" t="e">
        <f t="shared" si="6"/>
        <v>#DIV/0!</v>
      </c>
    </row>
    <row r="397" spans="42:42" x14ac:dyDescent="0.2">
      <c r="AP397" t="e">
        <f t="shared" si="6"/>
        <v>#DIV/0!</v>
      </c>
    </row>
    <row r="398" spans="42:42" x14ac:dyDescent="0.2">
      <c r="AP398" t="e">
        <f t="shared" si="6"/>
        <v>#DIV/0!</v>
      </c>
    </row>
    <row r="399" spans="42:42" x14ac:dyDescent="0.2">
      <c r="AP399" t="e">
        <f t="shared" si="6"/>
        <v>#DIV/0!</v>
      </c>
    </row>
    <row r="400" spans="42:42" x14ac:dyDescent="0.2">
      <c r="AP400" t="e">
        <f t="shared" si="6"/>
        <v>#DIV/0!</v>
      </c>
    </row>
    <row r="401" spans="42:42" x14ac:dyDescent="0.2">
      <c r="AP401" t="e">
        <f t="shared" si="6"/>
        <v>#DIV/0!</v>
      </c>
    </row>
    <row r="402" spans="42:42" x14ac:dyDescent="0.2">
      <c r="AP402" t="e">
        <f t="shared" si="6"/>
        <v>#DIV/0!</v>
      </c>
    </row>
    <row r="403" spans="42:42" x14ac:dyDescent="0.2">
      <c r="AP403" t="e">
        <f t="shared" si="6"/>
        <v>#DIV/0!</v>
      </c>
    </row>
    <row r="404" spans="42:42" x14ac:dyDescent="0.2">
      <c r="AP404" t="e">
        <f t="shared" si="6"/>
        <v>#DIV/0!</v>
      </c>
    </row>
    <row r="405" spans="42:42" x14ac:dyDescent="0.2">
      <c r="AP405" t="e">
        <f t="shared" si="6"/>
        <v>#DIV/0!</v>
      </c>
    </row>
    <row r="406" spans="42:42" x14ac:dyDescent="0.2">
      <c r="AP406" t="e">
        <f t="shared" si="6"/>
        <v>#DIV/0!</v>
      </c>
    </row>
    <row r="407" spans="42:42" x14ac:dyDescent="0.2">
      <c r="AP407" t="e">
        <f t="shared" si="6"/>
        <v>#DIV/0!</v>
      </c>
    </row>
    <row r="408" spans="42:42" x14ac:dyDescent="0.2">
      <c r="AP408" t="e">
        <f t="shared" si="6"/>
        <v>#DIV/0!</v>
      </c>
    </row>
    <row r="409" spans="42:42" x14ac:dyDescent="0.2">
      <c r="AP409" t="e">
        <f t="shared" si="6"/>
        <v>#DIV/0!</v>
      </c>
    </row>
    <row r="410" spans="42:42" x14ac:dyDescent="0.2">
      <c r="AP410" t="e">
        <f t="shared" si="6"/>
        <v>#DIV/0!</v>
      </c>
    </row>
    <row r="411" spans="42:42" x14ac:dyDescent="0.2">
      <c r="AP411" t="e">
        <f t="shared" si="6"/>
        <v>#DIV/0!</v>
      </c>
    </row>
    <row r="412" spans="42:42" x14ac:dyDescent="0.2">
      <c r="AP412" t="e">
        <f t="shared" si="6"/>
        <v>#DIV/0!</v>
      </c>
    </row>
    <row r="413" spans="42:42" x14ac:dyDescent="0.2">
      <c r="AP413" t="e">
        <f t="shared" si="6"/>
        <v>#DIV/0!</v>
      </c>
    </row>
    <row r="414" spans="42:42" x14ac:dyDescent="0.2">
      <c r="AP414" t="e">
        <f t="shared" si="6"/>
        <v>#DIV/0!</v>
      </c>
    </row>
    <row r="415" spans="42:42" x14ac:dyDescent="0.2">
      <c r="AP415" t="e">
        <f t="shared" si="6"/>
        <v>#DIV/0!</v>
      </c>
    </row>
    <row r="416" spans="42:42" x14ac:dyDescent="0.2">
      <c r="AP416" t="e">
        <f t="shared" si="6"/>
        <v>#DIV/0!</v>
      </c>
    </row>
    <row r="417" spans="42:42" x14ac:dyDescent="0.2">
      <c r="AP417" t="e">
        <f t="shared" si="6"/>
        <v>#DIV/0!</v>
      </c>
    </row>
    <row r="418" spans="42:42" x14ac:dyDescent="0.2">
      <c r="AP418" t="e">
        <f t="shared" si="6"/>
        <v>#DIV/0!</v>
      </c>
    </row>
    <row r="419" spans="42:42" x14ac:dyDescent="0.2">
      <c r="AP419" t="e">
        <f t="shared" si="6"/>
        <v>#DIV/0!</v>
      </c>
    </row>
    <row r="420" spans="42:42" x14ac:dyDescent="0.2">
      <c r="AP420" t="e">
        <f t="shared" si="6"/>
        <v>#DIV/0!</v>
      </c>
    </row>
    <row r="421" spans="42:42" x14ac:dyDescent="0.2">
      <c r="AP421" t="e">
        <f t="shared" si="6"/>
        <v>#DIV/0!</v>
      </c>
    </row>
    <row r="422" spans="42:42" x14ac:dyDescent="0.2">
      <c r="AP422" t="e">
        <f t="shared" si="6"/>
        <v>#DIV/0!</v>
      </c>
    </row>
    <row r="423" spans="42:42" x14ac:dyDescent="0.2">
      <c r="AP423" t="e">
        <f t="shared" si="6"/>
        <v>#DIV/0!</v>
      </c>
    </row>
    <row r="424" spans="42:42" x14ac:dyDescent="0.2">
      <c r="AP424" t="e">
        <f t="shared" si="6"/>
        <v>#DIV/0!</v>
      </c>
    </row>
    <row r="425" spans="42:42" x14ac:dyDescent="0.2">
      <c r="AP425" t="e">
        <f t="shared" si="6"/>
        <v>#DIV/0!</v>
      </c>
    </row>
    <row r="426" spans="42:42" x14ac:dyDescent="0.2">
      <c r="AP426" t="e">
        <f t="shared" si="6"/>
        <v>#DIV/0!</v>
      </c>
    </row>
    <row r="427" spans="42:42" x14ac:dyDescent="0.2">
      <c r="AP427" t="e">
        <f t="shared" si="6"/>
        <v>#DIV/0!</v>
      </c>
    </row>
    <row r="428" spans="42:42" x14ac:dyDescent="0.2">
      <c r="AP428" t="e">
        <f t="shared" si="6"/>
        <v>#DIV/0!</v>
      </c>
    </row>
    <row r="429" spans="42:42" x14ac:dyDescent="0.2">
      <c r="AP429" t="e">
        <f t="shared" si="6"/>
        <v>#DIV/0!</v>
      </c>
    </row>
    <row r="430" spans="42:42" x14ac:dyDescent="0.2">
      <c r="AP430" t="e">
        <f t="shared" si="6"/>
        <v>#DIV/0!</v>
      </c>
    </row>
    <row r="431" spans="42:42" x14ac:dyDescent="0.2">
      <c r="AP431" t="e">
        <f t="shared" si="6"/>
        <v>#DIV/0!</v>
      </c>
    </row>
    <row r="432" spans="42:42" x14ac:dyDescent="0.2">
      <c r="AP432" t="e">
        <f t="shared" si="6"/>
        <v>#DIV/0!</v>
      </c>
    </row>
    <row r="433" spans="42:42" x14ac:dyDescent="0.2">
      <c r="AP433" t="e">
        <f t="shared" si="6"/>
        <v>#DIV/0!</v>
      </c>
    </row>
    <row r="434" spans="42:42" x14ac:dyDescent="0.2">
      <c r="AP434" t="e">
        <f t="shared" si="6"/>
        <v>#DIV/0!</v>
      </c>
    </row>
    <row r="435" spans="42:42" x14ac:dyDescent="0.2">
      <c r="AP435" t="e">
        <f t="shared" si="6"/>
        <v>#DIV/0!</v>
      </c>
    </row>
    <row r="436" spans="42:42" x14ac:dyDescent="0.2">
      <c r="AP436" t="e">
        <f t="shared" si="6"/>
        <v>#DIV/0!</v>
      </c>
    </row>
    <row r="437" spans="42:42" x14ac:dyDescent="0.2">
      <c r="AP437" t="e">
        <f t="shared" si="6"/>
        <v>#DIV/0!</v>
      </c>
    </row>
    <row r="438" spans="42:42" x14ac:dyDescent="0.2">
      <c r="AP438" t="e">
        <f t="shared" si="6"/>
        <v>#DIV/0!</v>
      </c>
    </row>
    <row r="439" spans="42:42" x14ac:dyDescent="0.2">
      <c r="AP439" t="e">
        <f t="shared" si="6"/>
        <v>#DIV/0!</v>
      </c>
    </row>
    <row r="440" spans="42:42" x14ac:dyDescent="0.2">
      <c r="AP440" t="e">
        <f t="shared" si="6"/>
        <v>#DIV/0!</v>
      </c>
    </row>
    <row r="441" spans="42:42" x14ac:dyDescent="0.2">
      <c r="AP441" t="e">
        <f t="shared" si="6"/>
        <v>#DIV/0!</v>
      </c>
    </row>
    <row r="442" spans="42:42" x14ac:dyDescent="0.2">
      <c r="AP442" t="e">
        <f t="shared" si="6"/>
        <v>#DIV/0!</v>
      </c>
    </row>
    <row r="443" spans="42:42" x14ac:dyDescent="0.2">
      <c r="AP443" t="e">
        <f t="shared" si="6"/>
        <v>#DIV/0!</v>
      </c>
    </row>
    <row r="444" spans="42:42" x14ac:dyDescent="0.2">
      <c r="AP444" t="e">
        <f t="shared" si="6"/>
        <v>#DIV/0!</v>
      </c>
    </row>
    <row r="445" spans="42:42" x14ac:dyDescent="0.2">
      <c r="AP445" t="e">
        <f t="shared" si="6"/>
        <v>#DIV/0!</v>
      </c>
    </row>
    <row r="446" spans="42:42" x14ac:dyDescent="0.2">
      <c r="AP446" t="e">
        <f t="shared" si="6"/>
        <v>#DIV/0!</v>
      </c>
    </row>
    <row r="447" spans="42:42" x14ac:dyDescent="0.2">
      <c r="AP447" t="e">
        <f t="shared" si="6"/>
        <v>#DIV/0!</v>
      </c>
    </row>
    <row r="448" spans="42:42" x14ac:dyDescent="0.2">
      <c r="AP448" t="e">
        <f t="shared" si="6"/>
        <v>#DIV/0!</v>
      </c>
    </row>
    <row r="449" spans="42:42" x14ac:dyDescent="0.2">
      <c r="AP449" t="e">
        <f t="shared" si="6"/>
        <v>#DIV/0!</v>
      </c>
    </row>
    <row r="450" spans="42:42" x14ac:dyDescent="0.2">
      <c r="AP450" t="e">
        <f t="shared" si="6"/>
        <v>#DIV/0!</v>
      </c>
    </row>
    <row r="451" spans="42:42" x14ac:dyDescent="0.2">
      <c r="AP451" t="e">
        <f t="shared" ref="AP451:AP514" si="7">(G451+I451)/C451</f>
        <v>#DIV/0!</v>
      </c>
    </row>
    <row r="452" spans="42:42" x14ac:dyDescent="0.2">
      <c r="AP452" t="e">
        <f t="shared" si="7"/>
        <v>#DIV/0!</v>
      </c>
    </row>
    <row r="453" spans="42:42" x14ac:dyDescent="0.2">
      <c r="AP453" t="e">
        <f t="shared" si="7"/>
        <v>#DIV/0!</v>
      </c>
    </row>
    <row r="454" spans="42:42" x14ac:dyDescent="0.2">
      <c r="AP454" t="e">
        <f t="shared" si="7"/>
        <v>#DIV/0!</v>
      </c>
    </row>
    <row r="455" spans="42:42" x14ac:dyDescent="0.2">
      <c r="AP455" t="e">
        <f t="shared" si="7"/>
        <v>#DIV/0!</v>
      </c>
    </row>
    <row r="456" spans="42:42" x14ac:dyDescent="0.2">
      <c r="AP456" t="e">
        <f t="shared" si="7"/>
        <v>#DIV/0!</v>
      </c>
    </row>
    <row r="457" spans="42:42" x14ac:dyDescent="0.2">
      <c r="AP457" t="e">
        <f t="shared" si="7"/>
        <v>#DIV/0!</v>
      </c>
    </row>
    <row r="458" spans="42:42" x14ac:dyDescent="0.2">
      <c r="AP458" t="e">
        <f t="shared" si="7"/>
        <v>#DIV/0!</v>
      </c>
    </row>
    <row r="459" spans="42:42" x14ac:dyDescent="0.2">
      <c r="AP459" t="e">
        <f t="shared" si="7"/>
        <v>#DIV/0!</v>
      </c>
    </row>
    <row r="460" spans="42:42" x14ac:dyDescent="0.2">
      <c r="AP460" t="e">
        <f t="shared" si="7"/>
        <v>#DIV/0!</v>
      </c>
    </row>
    <row r="461" spans="42:42" x14ac:dyDescent="0.2">
      <c r="AP461" t="e">
        <f t="shared" si="7"/>
        <v>#DIV/0!</v>
      </c>
    </row>
    <row r="462" spans="42:42" x14ac:dyDescent="0.2">
      <c r="AP462" t="e">
        <f t="shared" si="7"/>
        <v>#DIV/0!</v>
      </c>
    </row>
    <row r="463" spans="42:42" x14ac:dyDescent="0.2">
      <c r="AP463" t="e">
        <f t="shared" si="7"/>
        <v>#DIV/0!</v>
      </c>
    </row>
    <row r="464" spans="42:42" x14ac:dyDescent="0.2">
      <c r="AP464" t="e">
        <f t="shared" si="7"/>
        <v>#DIV/0!</v>
      </c>
    </row>
    <row r="465" spans="42:42" x14ac:dyDescent="0.2">
      <c r="AP465" t="e">
        <f t="shared" si="7"/>
        <v>#DIV/0!</v>
      </c>
    </row>
    <row r="466" spans="42:42" x14ac:dyDescent="0.2">
      <c r="AP466" t="e">
        <f t="shared" si="7"/>
        <v>#DIV/0!</v>
      </c>
    </row>
    <row r="467" spans="42:42" x14ac:dyDescent="0.2">
      <c r="AP467" t="e">
        <f t="shared" si="7"/>
        <v>#DIV/0!</v>
      </c>
    </row>
    <row r="468" spans="42:42" x14ac:dyDescent="0.2">
      <c r="AP468" t="e">
        <f t="shared" si="7"/>
        <v>#DIV/0!</v>
      </c>
    </row>
    <row r="469" spans="42:42" x14ac:dyDescent="0.2">
      <c r="AP469" t="e">
        <f t="shared" si="7"/>
        <v>#DIV/0!</v>
      </c>
    </row>
    <row r="470" spans="42:42" x14ac:dyDescent="0.2">
      <c r="AP470" t="e">
        <f t="shared" si="7"/>
        <v>#DIV/0!</v>
      </c>
    </row>
    <row r="471" spans="42:42" x14ac:dyDescent="0.2">
      <c r="AP471" t="e">
        <f t="shared" si="7"/>
        <v>#DIV/0!</v>
      </c>
    </row>
    <row r="472" spans="42:42" x14ac:dyDescent="0.2">
      <c r="AP472" t="e">
        <f t="shared" si="7"/>
        <v>#DIV/0!</v>
      </c>
    </row>
    <row r="473" spans="42:42" x14ac:dyDescent="0.2">
      <c r="AP473" t="e">
        <f t="shared" si="7"/>
        <v>#DIV/0!</v>
      </c>
    </row>
    <row r="474" spans="42:42" x14ac:dyDescent="0.2">
      <c r="AP474" t="e">
        <f t="shared" si="7"/>
        <v>#DIV/0!</v>
      </c>
    </row>
    <row r="475" spans="42:42" x14ac:dyDescent="0.2">
      <c r="AP475" t="e">
        <f t="shared" si="7"/>
        <v>#DIV/0!</v>
      </c>
    </row>
    <row r="476" spans="42:42" x14ac:dyDescent="0.2">
      <c r="AP476" t="e">
        <f t="shared" si="7"/>
        <v>#DIV/0!</v>
      </c>
    </row>
    <row r="477" spans="42:42" x14ac:dyDescent="0.2">
      <c r="AP477" t="e">
        <f t="shared" si="7"/>
        <v>#DIV/0!</v>
      </c>
    </row>
    <row r="478" spans="42:42" x14ac:dyDescent="0.2">
      <c r="AP478" t="e">
        <f t="shared" si="7"/>
        <v>#DIV/0!</v>
      </c>
    </row>
    <row r="479" spans="42:42" x14ac:dyDescent="0.2">
      <c r="AP479" t="e">
        <f t="shared" si="7"/>
        <v>#DIV/0!</v>
      </c>
    </row>
    <row r="480" spans="42:42" x14ac:dyDescent="0.2">
      <c r="AP480" t="e">
        <f t="shared" si="7"/>
        <v>#DIV/0!</v>
      </c>
    </row>
    <row r="481" spans="42:42" x14ac:dyDescent="0.2">
      <c r="AP481" t="e">
        <f t="shared" si="7"/>
        <v>#DIV/0!</v>
      </c>
    </row>
    <row r="482" spans="42:42" x14ac:dyDescent="0.2">
      <c r="AP482" t="e">
        <f t="shared" si="7"/>
        <v>#DIV/0!</v>
      </c>
    </row>
    <row r="483" spans="42:42" x14ac:dyDescent="0.2">
      <c r="AP483" t="e">
        <f t="shared" si="7"/>
        <v>#DIV/0!</v>
      </c>
    </row>
    <row r="484" spans="42:42" x14ac:dyDescent="0.2">
      <c r="AP484" t="e">
        <f t="shared" si="7"/>
        <v>#DIV/0!</v>
      </c>
    </row>
    <row r="485" spans="42:42" x14ac:dyDescent="0.2">
      <c r="AP485" t="e">
        <f t="shared" si="7"/>
        <v>#DIV/0!</v>
      </c>
    </row>
    <row r="486" spans="42:42" x14ac:dyDescent="0.2">
      <c r="AP486" t="e">
        <f t="shared" si="7"/>
        <v>#DIV/0!</v>
      </c>
    </row>
    <row r="487" spans="42:42" x14ac:dyDescent="0.2">
      <c r="AP487" t="e">
        <f t="shared" si="7"/>
        <v>#DIV/0!</v>
      </c>
    </row>
    <row r="488" spans="42:42" x14ac:dyDescent="0.2">
      <c r="AP488" t="e">
        <f t="shared" si="7"/>
        <v>#DIV/0!</v>
      </c>
    </row>
    <row r="489" spans="42:42" x14ac:dyDescent="0.2">
      <c r="AP489" t="e">
        <f t="shared" si="7"/>
        <v>#DIV/0!</v>
      </c>
    </row>
    <row r="490" spans="42:42" x14ac:dyDescent="0.2">
      <c r="AP490" t="e">
        <f t="shared" si="7"/>
        <v>#DIV/0!</v>
      </c>
    </row>
    <row r="491" spans="42:42" x14ac:dyDescent="0.2">
      <c r="AP491" t="e">
        <f t="shared" si="7"/>
        <v>#DIV/0!</v>
      </c>
    </row>
    <row r="492" spans="42:42" x14ac:dyDescent="0.2">
      <c r="AP492" t="e">
        <f t="shared" si="7"/>
        <v>#DIV/0!</v>
      </c>
    </row>
    <row r="493" spans="42:42" x14ac:dyDescent="0.2">
      <c r="AP493" t="e">
        <f t="shared" si="7"/>
        <v>#DIV/0!</v>
      </c>
    </row>
    <row r="494" spans="42:42" x14ac:dyDescent="0.2">
      <c r="AP494" t="e">
        <f t="shared" si="7"/>
        <v>#DIV/0!</v>
      </c>
    </row>
    <row r="495" spans="42:42" x14ac:dyDescent="0.2">
      <c r="AP495" t="e">
        <f t="shared" si="7"/>
        <v>#DIV/0!</v>
      </c>
    </row>
    <row r="496" spans="42:42" x14ac:dyDescent="0.2">
      <c r="AP496" t="e">
        <f t="shared" si="7"/>
        <v>#DIV/0!</v>
      </c>
    </row>
    <row r="497" spans="42:42" x14ac:dyDescent="0.2">
      <c r="AP497" t="e">
        <f t="shared" si="7"/>
        <v>#DIV/0!</v>
      </c>
    </row>
    <row r="498" spans="42:42" x14ac:dyDescent="0.2">
      <c r="AP498" t="e">
        <f t="shared" si="7"/>
        <v>#DIV/0!</v>
      </c>
    </row>
    <row r="499" spans="42:42" x14ac:dyDescent="0.2">
      <c r="AP499" t="e">
        <f t="shared" si="7"/>
        <v>#DIV/0!</v>
      </c>
    </row>
    <row r="500" spans="42:42" x14ac:dyDescent="0.2">
      <c r="AP500" t="e">
        <f t="shared" si="7"/>
        <v>#DIV/0!</v>
      </c>
    </row>
    <row r="501" spans="42:42" x14ac:dyDescent="0.2">
      <c r="AP501" t="e">
        <f t="shared" si="7"/>
        <v>#DIV/0!</v>
      </c>
    </row>
    <row r="502" spans="42:42" x14ac:dyDescent="0.2">
      <c r="AP502" t="e">
        <f t="shared" si="7"/>
        <v>#DIV/0!</v>
      </c>
    </row>
    <row r="503" spans="42:42" x14ac:dyDescent="0.2">
      <c r="AP503" t="e">
        <f t="shared" si="7"/>
        <v>#DIV/0!</v>
      </c>
    </row>
    <row r="504" spans="42:42" x14ac:dyDescent="0.2">
      <c r="AP504" t="e">
        <f t="shared" si="7"/>
        <v>#DIV/0!</v>
      </c>
    </row>
    <row r="505" spans="42:42" x14ac:dyDescent="0.2">
      <c r="AP505" t="e">
        <f t="shared" si="7"/>
        <v>#DIV/0!</v>
      </c>
    </row>
    <row r="506" spans="42:42" x14ac:dyDescent="0.2">
      <c r="AP506" t="e">
        <f t="shared" si="7"/>
        <v>#DIV/0!</v>
      </c>
    </row>
    <row r="507" spans="42:42" x14ac:dyDescent="0.2">
      <c r="AP507" t="e">
        <f t="shared" si="7"/>
        <v>#DIV/0!</v>
      </c>
    </row>
    <row r="508" spans="42:42" x14ac:dyDescent="0.2">
      <c r="AP508" t="e">
        <f t="shared" si="7"/>
        <v>#DIV/0!</v>
      </c>
    </row>
    <row r="509" spans="42:42" x14ac:dyDescent="0.2">
      <c r="AP509" t="e">
        <f t="shared" si="7"/>
        <v>#DIV/0!</v>
      </c>
    </row>
    <row r="510" spans="42:42" x14ac:dyDescent="0.2">
      <c r="AP510" t="e">
        <f t="shared" si="7"/>
        <v>#DIV/0!</v>
      </c>
    </row>
    <row r="511" spans="42:42" x14ac:dyDescent="0.2">
      <c r="AP511" t="e">
        <f t="shared" si="7"/>
        <v>#DIV/0!</v>
      </c>
    </row>
    <row r="512" spans="42:42" x14ac:dyDescent="0.2">
      <c r="AP512" t="e">
        <f t="shared" si="7"/>
        <v>#DIV/0!</v>
      </c>
    </row>
    <row r="513" spans="42:42" x14ac:dyDescent="0.2">
      <c r="AP513" t="e">
        <f t="shared" si="7"/>
        <v>#DIV/0!</v>
      </c>
    </row>
    <row r="514" spans="42:42" x14ac:dyDescent="0.2">
      <c r="AP514" t="e">
        <f t="shared" si="7"/>
        <v>#DIV/0!</v>
      </c>
    </row>
    <row r="515" spans="42:42" x14ac:dyDescent="0.2">
      <c r="AP515" t="e">
        <f t="shared" ref="AP515:AP533" si="8">(G515+I515)/C515</f>
        <v>#DIV/0!</v>
      </c>
    </row>
    <row r="516" spans="42:42" x14ac:dyDescent="0.2">
      <c r="AP516" t="e">
        <f t="shared" si="8"/>
        <v>#DIV/0!</v>
      </c>
    </row>
    <row r="517" spans="42:42" x14ac:dyDescent="0.2">
      <c r="AP517" t="e">
        <f t="shared" si="8"/>
        <v>#DIV/0!</v>
      </c>
    </row>
    <row r="518" spans="42:42" x14ac:dyDescent="0.2">
      <c r="AP518" t="e">
        <f t="shared" si="8"/>
        <v>#DIV/0!</v>
      </c>
    </row>
    <row r="519" spans="42:42" x14ac:dyDescent="0.2">
      <c r="AP519" t="e">
        <f t="shared" si="8"/>
        <v>#DIV/0!</v>
      </c>
    </row>
    <row r="520" spans="42:42" x14ac:dyDescent="0.2">
      <c r="AP520" t="e">
        <f t="shared" si="8"/>
        <v>#DIV/0!</v>
      </c>
    </row>
    <row r="521" spans="42:42" x14ac:dyDescent="0.2">
      <c r="AP521" t="e">
        <f t="shared" si="8"/>
        <v>#DIV/0!</v>
      </c>
    </row>
    <row r="522" spans="42:42" x14ac:dyDescent="0.2">
      <c r="AP522" t="e">
        <f t="shared" si="8"/>
        <v>#DIV/0!</v>
      </c>
    </row>
    <row r="523" spans="42:42" x14ac:dyDescent="0.2">
      <c r="AP523" t="e">
        <f t="shared" si="8"/>
        <v>#DIV/0!</v>
      </c>
    </row>
    <row r="524" spans="42:42" x14ac:dyDescent="0.2">
      <c r="AP524" t="e">
        <f t="shared" si="8"/>
        <v>#DIV/0!</v>
      </c>
    </row>
    <row r="525" spans="42:42" x14ac:dyDescent="0.2">
      <c r="AP525" t="e">
        <f t="shared" si="8"/>
        <v>#DIV/0!</v>
      </c>
    </row>
    <row r="526" spans="42:42" x14ac:dyDescent="0.2">
      <c r="AP526" t="e">
        <f t="shared" si="8"/>
        <v>#DIV/0!</v>
      </c>
    </row>
    <row r="527" spans="42:42" x14ac:dyDescent="0.2">
      <c r="AP527" t="e">
        <f t="shared" si="8"/>
        <v>#DIV/0!</v>
      </c>
    </row>
    <row r="528" spans="42:42" x14ac:dyDescent="0.2">
      <c r="AP528" t="e">
        <f t="shared" si="8"/>
        <v>#DIV/0!</v>
      </c>
    </row>
    <row r="529" spans="42:42" x14ac:dyDescent="0.2">
      <c r="AP529" t="e">
        <f t="shared" si="8"/>
        <v>#DIV/0!</v>
      </c>
    </row>
    <row r="530" spans="42:42" x14ac:dyDescent="0.2">
      <c r="AP530" t="e">
        <f t="shared" si="8"/>
        <v>#DIV/0!</v>
      </c>
    </row>
    <row r="531" spans="42:42" x14ac:dyDescent="0.2">
      <c r="AP531" t="e">
        <f t="shared" si="8"/>
        <v>#DIV/0!</v>
      </c>
    </row>
    <row r="532" spans="42:42" x14ac:dyDescent="0.2">
      <c r="AP532" t="e">
        <f t="shared" si="8"/>
        <v>#DIV/0!</v>
      </c>
    </row>
    <row r="533" spans="42:42" x14ac:dyDescent="0.2">
      <c r="AP533" t="e">
        <f t="shared" si="8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Anchukova</cp:lastModifiedBy>
  <dcterms:created xsi:type="dcterms:W3CDTF">2025-12-12T21:18:47Z</dcterms:created>
  <dcterms:modified xsi:type="dcterms:W3CDTF">2025-12-12T21:44:29Z</dcterms:modified>
</cp:coreProperties>
</file>