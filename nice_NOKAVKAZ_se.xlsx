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amant_03/Desktop/DANO/"/>
    </mc:Choice>
  </mc:AlternateContent>
  <xr:revisionPtr revIDLastSave="0" documentId="13_ncr:1_{0571D15F-AE00-534C-8FA2-B3281EE39EB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definedNames>
    <definedName name="_xlnm._FilterDatabase" localSheetId="0" hidden="1">Sheet1!$A$1:$AN$547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2" i="1"/>
</calcChain>
</file>

<file path=xl/sharedStrings.xml><?xml version="1.0" encoding="utf-8"?>
<sst xmlns="http://schemas.openxmlformats.org/spreadsheetml/2006/main" count="1678" uniqueCount="141">
  <si>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</si>
  <si>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</si>
  <si>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</si>
  <si>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</si>
  <si>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</si>
  <si>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</si>
  <si>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</si>
  <si>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</si>
  <si>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</si>
  <si>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</si>
  <si>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</si>
  <si>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</si>
  <si>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</si>
  <si>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</si>
  <si>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</si>
  <si>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</si>
  <si>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</si>
  <si>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</si>
  <si>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</si>
  <si>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</si>
  <si>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</si>
  <si>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</si>
  <si>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</si>
  <si>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</si>
  <si>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</si>
  <si>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</si>
  <si>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</si>
  <si>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</si>
  <si>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</si>
  <si>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</si>
  <si>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</si>
  <si>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</si>
  <si>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</si>
  <si>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</si>
  <si>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</si>
  <si>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</si>
  <si>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</si>
  <si>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</si>
  <si>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</si>
  <si>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</si>
  <si>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</si>
  <si>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</si>
  <si>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</si>
  <si>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</si>
  <si>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</si>
  <si>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</si>
  <si>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</si>
  <si>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</si>
  <si>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</si>
  <si>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</si>
  <si>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</si>
  <si>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</si>
  <si>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</si>
  <si>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</si>
  <si>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</si>
  <si>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</si>
  <si>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</si>
  <si>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</si>
  <si>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</si>
  <si>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</si>
  <si>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</si>
  <si>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</si>
  <si>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</si>
  <si>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</si>
  <si>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</si>
  <si>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</si>
  <si>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</si>
  <si>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</si>
  <si>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</si>
  <si>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</si>
  <si>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</si>
  <si>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</si>
  <si>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</si>
  <si>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</si>
  <si>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</si>
  <si>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</si>
  <si>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</si>
  <si>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</si>
  <si>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</si>
  <si>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</si>
  <si>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</si>
  <si>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</si>
  <si>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</si>
  <si>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</si>
  <si>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</si>
  <si>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</si>
  <si>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</si>
  <si>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</si>
  <si>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</si>
  <si>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</si>
  <si>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</si>
  <si>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</si>
  <si>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</si>
  <si>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</si>
  <si>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</si>
  <si>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</si>
  <si>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</si>
  <si>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</si>
  <si>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</si>
  <si>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</si>
  <si>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</si>
  <si>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</si>
  <si>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</si>
  <si>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</si>
  <si>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</si>
  <si>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</si>
  <si>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</si>
  <si>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</si>
  <si>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</si>
  <si>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</si>
  <si>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</si>
  <si>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</si>
  <si>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</si>
  <si>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</si>
  <si>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</si>
  <si>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</si>
  <si>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</si>
  <si>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</si>
  <si>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</si>
  <si>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</si>
  <si>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</si>
  <si>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</si>
  <si>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</si>
  <si>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</si>
  <si>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</si>
  <si>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</si>
  <si>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</si>
  <si>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</si>
  <si>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</si>
  <si>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</si>
  <si>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</si>
  <si>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</si>
  <si>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</si>
  <si>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</si>
  <si>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</si>
  <si>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</si>
  <si>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</si>
  <si>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</si>
  <si>
    <t>educ</t>
  </si>
  <si>
    <t>fin_share</t>
  </si>
  <si>
    <t>cev_share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</si>
</sst>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47"/>
  <sheetViews>
    <sheetView tabSelected="1" zoomScale="113" workbookViewId="0">
      <selection activeCell="H5" sqref="H5"/>
    </sheetView>
  </sheetViews>
  <sheetFormatPr baseColWidth="10" defaultColWidth="8.83203125" defaultRowHeight="15" x14ac:dyDescent="0.2"/>
  <cols>
    <col min="1" max="1" width="38.5" bestFit="1" customWidth="1"/>
    <col min="2" max="2" width="5.1640625" bestFit="1" customWidth="1"/>
    <col min="3" max="4" width="12.1640625" bestFit="1" customWidth="1"/>
    <col min="5" max="5" width="15.6640625" bestFit="1" customWidth="1"/>
    <col min="6" max="6" width="18.1640625" bestFit="1" customWidth="1"/>
    <col min="7" max="7" width="14.33203125" bestFit="1" customWidth="1"/>
    <col min="8" max="8" width="16.83203125" bestFit="1" customWidth="1"/>
    <col min="9" max="9" width="19" bestFit="1" customWidth="1"/>
    <col min="10" max="10" width="10.1640625" bestFit="1" customWidth="1"/>
    <col min="11" max="11" width="6.1640625" bestFit="1" customWidth="1"/>
    <col min="12" max="12" width="7.1640625" bestFit="1" customWidth="1"/>
    <col min="13" max="13" width="12.1640625" bestFit="1" customWidth="1"/>
    <col min="14" max="14" width="7.5" bestFit="1" customWidth="1"/>
    <col min="15" max="15" width="4.1640625" bestFit="1" customWidth="1"/>
    <col min="16" max="16" width="12.1640625" bestFit="1" customWidth="1"/>
    <col min="17" max="17" width="13" bestFit="1" customWidth="1"/>
    <col min="18" max="18" width="15.6640625" bestFit="1" customWidth="1"/>
    <col min="19" max="19" width="12.1640625" bestFit="1" customWidth="1"/>
    <col min="20" max="20" width="12.33203125" bestFit="1" customWidth="1"/>
    <col min="21" max="21" width="38.5" bestFit="1" customWidth="1"/>
    <col min="22" max="23" width="12.1640625" bestFit="1" customWidth="1"/>
    <col min="24" max="24" width="6.6640625" bestFit="1" customWidth="1"/>
    <col min="25" max="25" width="5.6640625" bestFit="1" customWidth="1"/>
    <col min="26" max="26" width="6.1640625" bestFit="1" customWidth="1"/>
    <col min="27" max="27" width="6.6640625" bestFit="1" customWidth="1"/>
    <col min="28" max="28" width="6.1640625" bestFit="1" customWidth="1"/>
    <col min="29" max="30" width="7.1640625" bestFit="1" customWidth="1"/>
    <col min="31" max="31" width="5.6640625" bestFit="1" customWidth="1"/>
    <col min="32" max="36" width="6.1640625" bestFit="1" customWidth="1"/>
    <col min="37" max="37" width="16.33203125" bestFit="1" customWidth="1"/>
  </cols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138</v>
      </c>
      <c r="AM1" s="2" t="s">
        <v>139</v>
      </c>
      <c r="AN1" s="2" t="s">
        <v>140</v>
      </c>
    </row>
    <row r="2" spans="1:40" x14ac:dyDescent="0.2">
      <c r="A2" t="s">
        <v>37</v>
      </c>
      <c r="B2">
        <v>2019</v>
      </c>
      <c r="C2">
        <v>103.5527681508717</v>
      </c>
      <c r="D2">
        <v>50.094118888869353</v>
      </c>
      <c r="E2">
        <v>3.1006456379853282</v>
      </c>
      <c r="F2">
        <v>1.6712699892686871</v>
      </c>
      <c r="G2">
        <v>11.544957162711331</v>
      </c>
      <c r="H2">
        <v>2.5948665622855942</v>
      </c>
      <c r="I2">
        <v>0.1319423675738437</v>
      </c>
      <c r="J2">
        <v>0.2720012</v>
      </c>
      <c r="K2">
        <v>0.39800000000000002</v>
      </c>
      <c r="L2">
        <v>13.2</v>
      </c>
      <c r="M2">
        <v>0.17402963090409709</v>
      </c>
      <c r="N2">
        <v>29</v>
      </c>
      <c r="O2">
        <v>6</v>
      </c>
      <c r="P2">
        <v>36.337268018690033</v>
      </c>
      <c r="Q2">
        <v>35.971556077334363</v>
      </c>
      <c r="R2">
        <v>22.838795769448581</v>
      </c>
      <c r="S2">
        <v>4.636248175394039</v>
      </c>
      <c r="T2">
        <v>0.21613195913299421</v>
      </c>
      <c r="U2" t="s">
        <v>115</v>
      </c>
      <c r="V2">
        <v>2808.1098476269158</v>
      </c>
      <c r="W2">
        <v>35.093496793564633</v>
      </c>
      <c r="AK2" t="s">
        <v>131</v>
      </c>
      <c r="AL2">
        <f>(15*P2+13*Q2+11*R2+9*S2+4*T2)/100</f>
        <v>13.065067641647099</v>
      </c>
      <c r="AM2">
        <f>(G2+I2)/C2</f>
        <v>0.11276279464854537</v>
      </c>
      <c r="AN2">
        <f>E2/C2</f>
        <v>2.9942662985771928E-2</v>
      </c>
    </row>
    <row r="3" spans="1:40" x14ac:dyDescent="0.2">
      <c r="A3" t="s">
        <v>37</v>
      </c>
      <c r="B3">
        <v>2016</v>
      </c>
      <c r="C3">
        <v>102.7509524231417</v>
      </c>
      <c r="D3">
        <v>50.478426508372472</v>
      </c>
      <c r="E3">
        <v>3.034464428103127</v>
      </c>
      <c r="F3">
        <v>1.661203154071055</v>
      </c>
      <c r="G3">
        <v>9.3691857889607508</v>
      </c>
      <c r="H3">
        <v>3.3002569327544959</v>
      </c>
      <c r="I3">
        <v>0.17719500310091249</v>
      </c>
      <c r="J3">
        <v>0.2162328</v>
      </c>
      <c r="K3">
        <v>0.38900000000000001</v>
      </c>
      <c r="L3">
        <v>13.8</v>
      </c>
      <c r="M3">
        <v>0.1944557877226088</v>
      </c>
      <c r="N3">
        <v>37</v>
      </c>
      <c r="O3">
        <v>2</v>
      </c>
      <c r="P3">
        <v>33.478002273000001</v>
      </c>
      <c r="Q3">
        <v>36.509345570000001</v>
      </c>
      <c r="R3">
        <v>24.961621210000001</v>
      </c>
      <c r="S3">
        <v>4.8024555810000003</v>
      </c>
      <c r="T3">
        <v>0.24857536599998301</v>
      </c>
      <c r="U3" t="s">
        <v>115</v>
      </c>
      <c r="AK3" t="s">
        <v>131</v>
      </c>
      <c r="AL3">
        <f t="shared" ref="AL3:AL66" si="0">(15*P3+13*Q3+11*R3+9*S3+4*T3)/100</f>
        <v>12.955857615080001</v>
      </c>
      <c r="AM3">
        <f t="shared" ref="AM3:AM66" si="1">(G3+I3)/C3</f>
        <v>9.2907954300495768E-2</v>
      </c>
      <c r="AN3">
        <f t="shared" ref="AN3:AN66" si="2">E3/C3</f>
        <v>2.953222677301141E-2</v>
      </c>
    </row>
    <row r="4" spans="1:40" x14ac:dyDescent="0.2">
      <c r="A4" t="s">
        <v>37</v>
      </c>
      <c r="B4">
        <v>2021</v>
      </c>
      <c r="C4">
        <v>97.070818948672937</v>
      </c>
      <c r="D4">
        <v>50.910362784913431</v>
      </c>
      <c r="E4">
        <v>4.1885540204720977</v>
      </c>
      <c r="F4">
        <v>2.1806389488024842</v>
      </c>
      <c r="G4">
        <v>7.7725744709791487</v>
      </c>
      <c r="H4">
        <v>2.957896395900399</v>
      </c>
      <c r="I4">
        <v>0.21590484641608751</v>
      </c>
      <c r="J4">
        <v>0.34668919999999998</v>
      </c>
      <c r="K4">
        <v>0.40400000000000003</v>
      </c>
      <c r="L4">
        <v>12.2</v>
      </c>
      <c r="M4">
        <v>0.1655733793893768</v>
      </c>
      <c r="N4">
        <v>34</v>
      </c>
      <c r="O4">
        <v>2</v>
      </c>
      <c r="P4">
        <v>39.919444381236033</v>
      </c>
      <c r="Q4">
        <v>37.533261587434247</v>
      </c>
      <c r="R4">
        <v>17.985444564619652</v>
      </c>
      <c r="S4">
        <v>4.256692765290933</v>
      </c>
      <c r="T4">
        <v>0.30515670141913631</v>
      </c>
      <c r="U4" t="s">
        <v>115</v>
      </c>
      <c r="V4">
        <v>885.21472460844234</v>
      </c>
      <c r="W4">
        <v>35.292976811014078</v>
      </c>
      <c r="AK4" t="s">
        <v>131</v>
      </c>
      <c r="AL4">
        <f t="shared" si="0"/>
        <v>13.240948182592968</v>
      </c>
      <c r="AM4">
        <f t="shared" si="1"/>
        <v>8.2295373665480412E-2</v>
      </c>
      <c r="AN4">
        <f t="shared" si="2"/>
        <v>4.3149466192170825E-2</v>
      </c>
    </row>
    <row r="5" spans="1:40" x14ac:dyDescent="0.2">
      <c r="A5" t="s">
        <v>37</v>
      </c>
      <c r="B5">
        <v>2020</v>
      </c>
      <c r="C5">
        <v>89.032754033790539</v>
      </c>
      <c r="D5">
        <v>46.816155892616528</v>
      </c>
      <c r="E5">
        <v>3.5846318626265421</v>
      </c>
      <c r="F5">
        <v>1.4899975814532009</v>
      </c>
      <c r="G5">
        <v>7.4283937394188566</v>
      </c>
      <c r="H5">
        <v>2.1162284490204888</v>
      </c>
      <c r="I5">
        <v>0.17275334277718271</v>
      </c>
      <c r="J5">
        <v>0.29226449999999998</v>
      </c>
      <c r="K5">
        <v>0.39600000000000002</v>
      </c>
      <c r="L5">
        <v>13.2</v>
      </c>
      <c r="M5">
        <v>0.17286113065290559</v>
      </c>
      <c r="N5">
        <v>33</v>
      </c>
      <c r="O5">
        <v>2</v>
      </c>
      <c r="P5">
        <v>39.393804818</v>
      </c>
      <c r="Q5">
        <v>38.426710397999997</v>
      </c>
      <c r="R5">
        <v>17.458064495999999</v>
      </c>
      <c r="S5">
        <v>4.4594053630000001</v>
      </c>
      <c r="T5">
        <v>0.26201492500001677</v>
      </c>
      <c r="U5" t="s">
        <v>115</v>
      </c>
      <c r="V5">
        <v>2796.9776967176308</v>
      </c>
      <c r="W5">
        <v>36.350570386632377</v>
      </c>
      <c r="AK5" t="s">
        <v>131</v>
      </c>
      <c r="AL5">
        <f t="shared" si="0"/>
        <v>13.236757248670001</v>
      </c>
      <c r="AM5">
        <f t="shared" si="1"/>
        <v>8.5374727140431733E-2</v>
      </c>
      <c r="AN5">
        <f t="shared" si="2"/>
        <v>4.0261945185544518E-2</v>
      </c>
    </row>
    <row r="6" spans="1:40" x14ac:dyDescent="0.2">
      <c r="A6" t="s">
        <v>37</v>
      </c>
      <c r="B6">
        <v>2018</v>
      </c>
      <c r="C6">
        <v>90.565005646527382</v>
      </c>
      <c r="D6">
        <v>47.576404573687178</v>
      </c>
      <c r="E6">
        <v>3.2202851496329759</v>
      </c>
      <c r="F6">
        <v>1.896880293619424</v>
      </c>
      <c r="G6">
        <v>6.7273080180688876</v>
      </c>
      <c r="H6">
        <v>2.3159584980237158</v>
      </c>
      <c r="I6">
        <v>0.154397233201581</v>
      </c>
      <c r="J6">
        <v>0.25277670000000002</v>
      </c>
      <c r="K6">
        <v>0.39700000000000002</v>
      </c>
      <c r="L6">
        <v>13.4</v>
      </c>
      <c r="M6">
        <v>0.1807349001383968</v>
      </c>
      <c r="N6">
        <v>32</v>
      </c>
      <c r="O6">
        <v>2</v>
      </c>
      <c r="P6">
        <v>37.439052832999998</v>
      </c>
      <c r="Q6">
        <v>37.210849246999999</v>
      </c>
      <c r="R6">
        <v>21.137389932000001</v>
      </c>
      <c r="S6">
        <v>3.975438273</v>
      </c>
      <c r="T6">
        <v>0.23726971499999649</v>
      </c>
      <c r="U6" t="s">
        <v>115</v>
      </c>
      <c r="V6">
        <v>2754.3237074220692</v>
      </c>
      <c r="W6">
        <v>33.048631554192887</v>
      </c>
      <c r="AK6" t="s">
        <v>131</v>
      </c>
      <c r="AL6">
        <f t="shared" si="0"/>
        <v>13.14566145275</v>
      </c>
      <c r="AM6">
        <f t="shared" si="1"/>
        <v>7.5986361422308815E-2</v>
      </c>
      <c r="AN6">
        <f t="shared" si="2"/>
        <v>3.5557720409157334E-2</v>
      </c>
    </row>
    <row r="7" spans="1:40" x14ac:dyDescent="0.2">
      <c r="A7" t="s">
        <v>37</v>
      </c>
      <c r="B7">
        <v>2017</v>
      </c>
      <c r="C7">
        <v>88.537737721840642</v>
      </c>
      <c r="D7">
        <v>49.717005686354952</v>
      </c>
      <c r="E7">
        <v>2.9556693708835691</v>
      </c>
      <c r="F7">
        <v>1.323434046664284</v>
      </c>
      <c r="G7">
        <v>6.5068840627660647</v>
      </c>
      <c r="H7">
        <v>2.7130397956617829</v>
      </c>
      <c r="I7">
        <v>0.17645787288857129</v>
      </c>
      <c r="J7">
        <v>0.23283980000000001</v>
      </c>
      <c r="K7">
        <v>0.39</v>
      </c>
      <c r="L7">
        <v>13.5</v>
      </c>
      <c r="M7">
        <v>0.1871959135894434</v>
      </c>
      <c r="N7">
        <v>40</v>
      </c>
      <c r="O7">
        <v>2</v>
      </c>
      <c r="P7">
        <v>36.428013323999998</v>
      </c>
      <c r="Q7">
        <v>37.152523465999998</v>
      </c>
      <c r="R7">
        <v>22.666599103999999</v>
      </c>
      <c r="S7">
        <v>3.6565991869999999</v>
      </c>
      <c r="T7">
        <v>9.6264919000006444E-2</v>
      </c>
      <c r="U7" t="s">
        <v>115</v>
      </c>
      <c r="V7">
        <v>2648.759730287999</v>
      </c>
      <c r="W7">
        <v>34.967225872138151</v>
      </c>
      <c r="AK7" t="s">
        <v>131</v>
      </c>
      <c r="AL7">
        <f t="shared" si="0"/>
        <v>13.120300474210003</v>
      </c>
      <c r="AM7">
        <f t="shared" si="1"/>
        <v>7.5485799701046324E-2</v>
      </c>
      <c r="AN7">
        <f t="shared" si="2"/>
        <v>3.3383158943697061E-2</v>
      </c>
    </row>
    <row r="8" spans="1:40" x14ac:dyDescent="0.2">
      <c r="A8" t="s">
        <v>37</v>
      </c>
      <c r="B8">
        <v>2022</v>
      </c>
      <c r="C8">
        <v>88.062052841245475</v>
      </c>
      <c r="D8">
        <v>48.526445708781118</v>
      </c>
      <c r="E8">
        <v>3.2712202855795378</v>
      </c>
      <c r="F8">
        <v>2.1473654635399422</v>
      </c>
      <c r="G8">
        <v>4.7161764853447323</v>
      </c>
      <c r="H8">
        <v>3.150807268932438</v>
      </c>
      <c r="I8">
        <v>6.02065083235497E-2</v>
      </c>
      <c r="J8">
        <v>0.39563979999999999</v>
      </c>
      <c r="K8">
        <v>0.39700000000000002</v>
      </c>
      <c r="L8">
        <v>12.3</v>
      </c>
      <c r="M8">
        <v>0.1605627301644641</v>
      </c>
      <c r="N8">
        <v>34</v>
      </c>
      <c r="O8">
        <v>2</v>
      </c>
      <c r="P8">
        <v>39.032136812562563</v>
      </c>
      <c r="Q8">
        <v>39.311762585546262</v>
      </c>
      <c r="R8">
        <v>16.396727957655731</v>
      </c>
      <c r="S8">
        <v>5.1740606010240784</v>
      </c>
      <c r="T8">
        <v>8.5312043211374089E-2</v>
      </c>
      <c r="U8" t="s">
        <v>115</v>
      </c>
      <c r="V8">
        <v>963.53769733029515</v>
      </c>
      <c r="W8">
        <v>41.052003108130179</v>
      </c>
      <c r="AK8" t="s">
        <v>131</v>
      </c>
      <c r="AL8">
        <f t="shared" si="0"/>
        <v>13.238067669168151</v>
      </c>
      <c r="AM8">
        <f t="shared" si="1"/>
        <v>5.4238833181403823E-2</v>
      </c>
      <c r="AN8">
        <f t="shared" si="2"/>
        <v>3.7146763901549681E-2</v>
      </c>
    </row>
    <row r="9" spans="1:40" x14ac:dyDescent="0.2">
      <c r="A9" t="s">
        <v>38</v>
      </c>
      <c r="B9">
        <v>2021</v>
      </c>
      <c r="C9">
        <v>215.5199724829603</v>
      </c>
      <c r="D9">
        <v>144.60023353277151</v>
      </c>
      <c r="E9">
        <v>5.7025444210107077</v>
      </c>
      <c r="F9">
        <v>2.9870470776722762</v>
      </c>
      <c r="G9">
        <v>15.25204341175086</v>
      </c>
      <c r="H9">
        <v>11.721896865410899</v>
      </c>
      <c r="I9">
        <v>2.8965304995609942</v>
      </c>
      <c r="J9">
        <v>0.35318450000000001</v>
      </c>
      <c r="K9">
        <v>0.38200000000000001</v>
      </c>
      <c r="L9">
        <v>21.4</v>
      </c>
      <c r="M9">
        <v>0.15350187549729091</v>
      </c>
      <c r="N9">
        <v>25</v>
      </c>
      <c r="O9">
        <v>1</v>
      </c>
      <c r="P9">
        <v>26.55320453224645</v>
      </c>
      <c r="Q9">
        <v>41.11970987807689</v>
      </c>
      <c r="R9">
        <v>19.5167264406175</v>
      </c>
      <c r="S9">
        <v>12.38295314658245</v>
      </c>
      <c r="T9">
        <v>0.42740600247671517</v>
      </c>
      <c r="U9" t="s">
        <v>116</v>
      </c>
      <c r="V9">
        <v>681.50715774706066</v>
      </c>
      <c r="W9">
        <v>30.840146407911199</v>
      </c>
      <c r="AK9" t="s">
        <v>132</v>
      </c>
      <c r="AL9">
        <f t="shared" si="0"/>
        <v>12.606944895746375</v>
      </c>
      <c r="AM9">
        <f t="shared" si="1"/>
        <v>8.4208315833683295E-2</v>
      </c>
      <c r="AN9">
        <f t="shared" si="2"/>
        <v>2.6459470810583779E-2</v>
      </c>
    </row>
    <row r="10" spans="1:40" x14ac:dyDescent="0.2">
      <c r="A10" t="s">
        <v>38</v>
      </c>
      <c r="B10">
        <v>2022</v>
      </c>
      <c r="C10">
        <v>217.54392622670861</v>
      </c>
      <c r="D10">
        <v>154.59565101893671</v>
      </c>
      <c r="E10">
        <v>8.0167735569807608</v>
      </c>
      <c r="F10">
        <v>3.3679936245303779</v>
      </c>
      <c r="G10">
        <v>13.13991878866077</v>
      </c>
      <c r="H10">
        <v>9.7719251641303924</v>
      </c>
      <c r="I10">
        <v>2.1346438465333382</v>
      </c>
      <c r="J10">
        <v>0.4346275</v>
      </c>
      <c r="K10">
        <v>0.36299999999999999</v>
      </c>
      <c r="L10">
        <v>18</v>
      </c>
      <c r="M10">
        <v>0.15719991651170731</v>
      </c>
      <c r="N10">
        <v>26</v>
      </c>
      <c r="O10">
        <v>1</v>
      </c>
      <c r="P10">
        <v>28.829171793370119</v>
      </c>
      <c r="Q10">
        <v>40.0268938377517</v>
      </c>
      <c r="R10">
        <v>19.665734757543159</v>
      </c>
      <c r="S10">
        <v>10.809063584287619</v>
      </c>
      <c r="T10">
        <v>0.66913602704740072</v>
      </c>
      <c r="U10" t="s">
        <v>116</v>
      </c>
      <c r="V10">
        <v>687.11483643061047</v>
      </c>
      <c r="W10">
        <v>29.766525326973191</v>
      </c>
      <c r="AK10" t="s">
        <v>132</v>
      </c>
      <c r="AL10">
        <f t="shared" si="0"/>
        <v>12.690683954910769</v>
      </c>
      <c r="AM10">
        <f t="shared" si="1"/>
        <v>7.0213693850850425E-2</v>
      </c>
      <c r="AN10">
        <f t="shared" si="2"/>
        <v>3.6851286524204115E-2</v>
      </c>
    </row>
    <row r="11" spans="1:40" x14ac:dyDescent="0.2">
      <c r="A11" t="s">
        <v>38</v>
      </c>
      <c r="B11">
        <v>2016</v>
      </c>
      <c r="C11">
        <v>224.57601517003539</v>
      </c>
      <c r="D11">
        <v>151.74683144250119</v>
      </c>
      <c r="E11">
        <v>4.6941592574862554</v>
      </c>
      <c r="F11">
        <v>4.4617751358285194</v>
      </c>
      <c r="G11">
        <v>8.7376429743308499</v>
      </c>
      <c r="H11">
        <v>5.5307420954541016</v>
      </c>
      <c r="I11">
        <v>0.55772189197856481</v>
      </c>
      <c r="J11">
        <v>0.22526499999999999</v>
      </c>
      <c r="K11">
        <v>0.35899999999999999</v>
      </c>
      <c r="L11">
        <v>24.9</v>
      </c>
      <c r="M11">
        <v>0.17554236876793419</v>
      </c>
      <c r="N11">
        <v>29</v>
      </c>
      <c r="O11">
        <v>1</v>
      </c>
      <c r="P11">
        <v>27.463778299000001</v>
      </c>
      <c r="Q11">
        <v>43.362433936000002</v>
      </c>
      <c r="R11">
        <v>18.946563239</v>
      </c>
      <c r="S11">
        <v>9.517929058</v>
      </c>
      <c r="T11">
        <v>0.70929546799999343</v>
      </c>
      <c r="U11" t="s">
        <v>116</v>
      </c>
      <c r="AK11" t="s">
        <v>132</v>
      </c>
      <c r="AL11">
        <f t="shared" si="0"/>
        <v>12.725790546760003</v>
      </c>
      <c r="AM11">
        <f t="shared" si="1"/>
        <v>4.1390728476821202E-2</v>
      </c>
      <c r="AN11">
        <f t="shared" si="2"/>
        <v>2.0902317880794712E-2</v>
      </c>
    </row>
    <row r="12" spans="1:40" x14ac:dyDescent="0.2">
      <c r="A12" t="s">
        <v>38</v>
      </c>
      <c r="B12">
        <v>2018</v>
      </c>
      <c r="C12">
        <v>211.03992882790749</v>
      </c>
      <c r="D12">
        <v>143.53650091945909</v>
      </c>
      <c r="E12">
        <v>6.5577379014321551</v>
      </c>
      <c r="F12">
        <v>3.6686645602417651</v>
      </c>
      <c r="G12">
        <v>7.8876288045197951</v>
      </c>
      <c r="H12">
        <v>3.852097788253853</v>
      </c>
      <c r="I12">
        <v>0.45858307003022059</v>
      </c>
      <c r="J12">
        <v>0.25623000000000001</v>
      </c>
      <c r="K12">
        <v>0.377</v>
      </c>
      <c r="L12">
        <v>23.2</v>
      </c>
      <c r="M12">
        <v>0.16348882267393661</v>
      </c>
      <c r="N12">
        <v>30</v>
      </c>
      <c r="O12">
        <v>1</v>
      </c>
      <c r="P12">
        <v>30.999611305999998</v>
      </c>
      <c r="Q12">
        <v>41.755128399999997</v>
      </c>
      <c r="R12">
        <v>18.551300405999999</v>
      </c>
      <c r="S12">
        <v>7.9039611819999998</v>
      </c>
      <c r="T12">
        <v>0.78999870600000577</v>
      </c>
      <c r="U12" t="s">
        <v>116</v>
      </c>
      <c r="V12">
        <v>2743.8673380576311</v>
      </c>
      <c r="W12">
        <v>29.740953699167449</v>
      </c>
      <c r="AK12" t="s">
        <v>132</v>
      </c>
      <c r="AL12">
        <f t="shared" si="0"/>
        <v>12.86170788718</v>
      </c>
      <c r="AM12">
        <f t="shared" si="1"/>
        <v>3.954802259887006E-2</v>
      </c>
      <c r="AN12">
        <f t="shared" si="2"/>
        <v>3.1073446327683624E-2</v>
      </c>
    </row>
    <row r="13" spans="1:40" x14ac:dyDescent="0.2">
      <c r="A13" t="s">
        <v>38</v>
      </c>
      <c r="B13">
        <v>2017</v>
      </c>
      <c r="C13">
        <v>213.40325427290361</v>
      </c>
      <c r="D13">
        <v>147.921495619957</v>
      </c>
      <c r="E13">
        <v>7.3269525867829151</v>
      </c>
      <c r="F13">
        <v>4.0551687272760786</v>
      </c>
      <c r="G13">
        <v>7.7877672148824688</v>
      </c>
      <c r="H13">
        <v>4.7924721322353658</v>
      </c>
      <c r="I13">
        <v>0.32257023966968812</v>
      </c>
      <c r="J13">
        <v>0.22940060000000001</v>
      </c>
      <c r="K13">
        <v>0.36599999999999999</v>
      </c>
      <c r="L13">
        <v>24.6</v>
      </c>
      <c r="M13">
        <v>0.16900627476256369</v>
      </c>
      <c r="N13">
        <v>30</v>
      </c>
      <c r="O13">
        <v>1</v>
      </c>
      <c r="P13">
        <v>28.825480121999998</v>
      </c>
      <c r="Q13">
        <v>43.428765703000003</v>
      </c>
      <c r="R13">
        <v>18.713542558</v>
      </c>
      <c r="S13">
        <v>8.6492634119999998</v>
      </c>
      <c r="T13">
        <v>0.38294820500000532</v>
      </c>
      <c r="U13" t="s">
        <v>116</v>
      </c>
      <c r="V13">
        <v>2593.6077724642601</v>
      </c>
      <c r="W13">
        <v>30.726962598749541</v>
      </c>
      <c r="AK13" t="s">
        <v>132</v>
      </c>
      <c r="AL13">
        <f t="shared" si="0"/>
        <v>12.82180287635</v>
      </c>
      <c r="AM13">
        <f t="shared" si="1"/>
        <v>3.800475059382423E-2</v>
      </c>
      <c r="AN13">
        <f t="shared" si="2"/>
        <v>3.4333837184193486E-2</v>
      </c>
    </row>
    <row r="14" spans="1:40" x14ac:dyDescent="0.2">
      <c r="A14" t="s">
        <v>38</v>
      </c>
      <c r="B14">
        <v>2020</v>
      </c>
      <c r="C14">
        <v>216.23119161053859</v>
      </c>
      <c r="D14">
        <v>134.43485132686291</v>
      </c>
      <c r="E14">
        <v>5.3592271812735888</v>
      </c>
      <c r="F14">
        <v>2.4071105136228832</v>
      </c>
      <c r="G14">
        <v>6.9942456433570559</v>
      </c>
      <c r="H14">
        <v>5.0867241042596767</v>
      </c>
      <c r="I14">
        <v>2.2254417956136092</v>
      </c>
      <c r="J14">
        <v>0.29754809999999998</v>
      </c>
      <c r="K14">
        <v>0.376</v>
      </c>
      <c r="L14">
        <v>22.8</v>
      </c>
      <c r="M14">
        <v>0.15311410088352351</v>
      </c>
      <c r="N14">
        <v>27</v>
      </c>
      <c r="O14">
        <v>1</v>
      </c>
      <c r="P14">
        <v>27.598486068</v>
      </c>
      <c r="Q14">
        <v>40.655325392000002</v>
      </c>
      <c r="R14">
        <v>20.736029751</v>
      </c>
      <c r="S14">
        <v>10.477629942</v>
      </c>
      <c r="T14">
        <v>0.53252884699998049</v>
      </c>
      <c r="U14" t="s">
        <v>116</v>
      </c>
      <c r="V14">
        <v>2555.956583006347</v>
      </c>
      <c r="W14">
        <v>29.441125426812849</v>
      </c>
      <c r="AK14" t="s">
        <v>132</v>
      </c>
      <c r="AL14">
        <f t="shared" si="0"/>
        <v>12.670216332429998</v>
      </c>
      <c r="AM14">
        <f t="shared" si="1"/>
        <v>4.2638101239235456E-2</v>
      </c>
      <c r="AN14">
        <f t="shared" si="2"/>
        <v>2.4784709094728002E-2</v>
      </c>
    </row>
    <row r="15" spans="1:40" x14ac:dyDescent="0.2">
      <c r="A15" t="s">
        <v>38</v>
      </c>
      <c r="B15">
        <v>2019</v>
      </c>
      <c r="C15">
        <v>195.0051629764331</v>
      </c>
      <c r="D15">
        <v>132.22702475487279</v>
      </c>
      <c r="E15">
        <v>5.117286376138825</v>
      </c>
      <c r="F15">
        <v>3.4267542697358202</v>
      </c>
      <c r="G15">
        <v>6.0767775716648549</v>
      </c>
      <c r="H15">
        <v>4.5690056929810936</v>
      </c>
      <c r="I15">
        <v>0.63966079701735312</v>
      </c>
      <c r="J15">
        <v>0.27028269999999999</v>
      </c>
      <c r="K15">
        <v>0.374</v>
      </c>
      <c r="L15">
        <v>23.4</v>
      </c>
      <c r="M15">
        <v>0.15714421162415851</v>
      </c>
      <c r="N15">
        <v>20</v>
      </c>
      <c r="O15">
        <v>1</v>
      </c>
      <c r="P15">
        <v>27.169255790333679</v>
      </c>
      <c r="Q15">
        <v>40.375606627123112</v>
      </c>
      <c r="R15">
        <v>20.797169158984641</v>
      </c>
      <c r="S15">
        <v>11.023085545321781</v>
      </c>
      <c r="T15">
        <v>0.63488287823679457</v>
      </c>
      <c r="U15" t="s">
        <v>116</v>
      </c>
      <c r="V15">
        <v>2675.529915945981</v>
      </c>
      <c r="W15">
        <v>29.70134661222372</v>
      </c>
      <c r="AK15" t="s">
        <v>132</v>
      </c>
      <c r="AL15">
        <f t="shared" si="0"/>
        <v>12.629378851772799</v>
      </c>
      <c r="AM15">
        <f t="shared" si="1"/>
        <v>3.444236176194939E-2</v>
      </c>
      <c r="AN15">
        <f t="shared" si="2"/>
        <v>2.6241799437675725E-2</v>
      </c>
    </row>
    <row r="16" spans="1:40" x14ac:dyDescent="0.2">
      <c r="A16" t="s">
        <v>39</v>
      </c>
      <c r="B16">
        <v>2021</v>
      </c>
      <c r="C16">
        <v>170.13934704289801</v>
      </c>
      <c r="D16">
        <v>83.763254168675289</v>
      </c>
      <c r="E16">
        <v>7.1417591284963589</v>
      </c>
      <c r="F16">
        <v>2.9220246190372299</v>
      </c>
      <c r="G16">
        <v>5.4434139698905186</v>
      </c>
      <c r="H16">
        <v>3.109278059601464</v>
      </c>
      <c r="I16">
        <v>0.4659562358226283</v>
      </c>
      <c r="J16">
        <v>0.40003870000000002</v>
      </c>
      <c r="K16">
        <v>0.374</v>
      </c>
      <c r="L16">
        <v>15.7</v>
      </c>
      <c r="M16">
        <v>0.1518809561483388</v>
      </c>
      <c r="N16">
        <v>297</v>
      </c>
      <c r="O16">
        <v>8</v>
      </c>
      <c r="P16">
        <v>27.069092867539631</v>
      </c>
      <c r="Q16">
        <v>46.005225785926342</v>
      </c>
      <c r="R16">
        <v>20.2131323797623</v>
      </c>
      <c r="S16">
        <v>6.0519382723062716</v>
      </c>
      <c r="T16">
        <v>0.66061069446544707</v>
      </c>
      <c r="U16" t="s">
        <v>39</v>
      </c>
      <c r="V16">
        <v>877.72397812307258</v>
      </c>
      <c r="W16">
        <v>32.85773841436577</v>
      </c>
      <c r="X16">
        <v>3.61</v>
      </c>
      <c r="AA16">
        <v>-3.69</v>
      </c>
      <c r="AD16">
        <v>764.16</v>
      </c>
      <c r="AF16">
        <v>64.27</v>
      </c>
      <c r="AH16">
        <v>4.5</v>
      </c>
      <c r="AI16">
        <v>14.54</v>
      </c>
      <c r="AK16" t="s">
        <v>132</v>
      </c>
      <c r="AL16">
        <f t="shared" si="0"/>
        <v>12.835586716361403</v>
      </c>
      <c r="AM16">
        <f t="shared" si="1"/>
        <v>3.4732531353980044E-2</v>
      </c>
      <c r="AN16">
        <f t="shared" si="2"/>
        <v>4.1975940619401075E-2</v>
      </c>
    </row>
    <row r="17" spans="1:40" x14ac:dyDescent="0.2">
      <c r="A17" t="s">
        <v>39</v>
      </c>
      <c r="B17">
        <v>2022</v>
      </c>
      <c r="C17">
        <v>181.80156032765771</v>
      </c>
      <c r="D17">
        <v>85.46441372628</v>
      </c>
      <c r="E17">
        <v>11.0908372050719</v>
      </c>
      <c r="F17">
        <v>3.2112382200459222</v>
      </c>
      <c r="G17">
        <v>4.9885564834528422</v>
      </c>
      <c r="H17">
        <v>2.8910425015731351</v>
      </c>
      <c r="I17">
        <v>0.54294056610603025</v>
      </c>
      <c r="J17">
        <v>0.44093329999999997</v>
      </c>
      <c r="K17">
        <v>0.371</v>
      </c>
      <c r="L17">
        <v>13.8</v>
      </c>
      <c r="M17">
        <v>0.15001123005273481</v>
      </c>
      <c r="N17">
        <v>351</v>
      </c>
      <c r="O17">
        <v>8</v>
      </c>
      <c r="P17">
        <v>25.483869274736051</v>
      </c>
      <c r="Q17">
        <v>47.647426548230399</v>
      </c>
      <c r="R17">
        <v>20.780759640888569</v>
      </c>
      <c r="S17">
        <v>5.2438864510921768</v>
      </c>
      <c r="T17">
        <v>0.84405808505280788</v>
      </c>
      <c r="U17" t="s">
        <v>39</v>
      </c>
      <c r="V17">
        <v>863.42355021038793</v>
      </c>
      <c r="W17">
        <v>35.876512893256702</v>
      </c>
      <c r="X17">
        <v>3.59</v>
      </c>
      <c r="AA17">
        <v>-4.7</v>
      </c>
      <c r="AD17">
        <v>764.55</v>
      </c>
      <c r="AF17">
        <v>61.34</v>
      </c>
      <c r="AH17">
        <v>4.1100000000000003</v>
      </c>
      <c r="AI17">
        <v>13.66</v>
      </c>
      <c r="AK17" t="s">
        <v>132</v>
      </c>
      <c r="AL17">
        <f t="shared" si="0"/>
        <v>12.808341506978509</v>
      </c>
      <c r="AM17">
        <f t="shared" si="1"/>
        <v>3.0426015264057988E-2</v>
      </c>
      <c r="AN17">
        <f t="shared" si="2"/>
        <v>6.1005181611659888E-2</v>
      </c>
    </row>
    <row r="18" spans="1:40" x14ac:dyDescent="0.2">
      <c r="A18" t="s">
        <v>39</v>
      </c>
      <c r="B18">
        <v>2016</v>
      </c>
      <c r="C18">
        <v>187.5483323193539</v>
      </c>
      <c r="D18">
        <v>109.5560621245436</v>
      </c>
      <c r="E18">
        <v>6.8874869886661498</v>
      </c>
      <c r="F18">
        <v>3.2102337033306489</v>
      </c>
      <c r="G18">
        <v>4.4261675699919314</v>
      </c>
      <c r="H18">
        <v>2.5833335437025138</v>
      </c>
      <c r="I18">
        <v>0.1640879612449479</v>
      </c>
      <c r="J18">
        <v>0.2300471</v>
      </c>
      <c r="K18">
        <v>0.379</v>
      </c>
      <c r="L18">
        <v>17.399999999999999</v>
      </c>
      <c r="M18">
        <v>0.17395855958538081</v>
      </c>
      <c r="N18">
        <v>322</v>
      </c>
      <c r="O18">
        <v>10</v>
      </c>
      <c r="P18">
        <v>27.351206143999999</v>
      </c>
      <c r="Q18">
        <v>43.949557800000001</v>
      </c>
      <c r="R18">
        <v>22.270692828000001</v>
      </c>
      <c r="S18">
        <v>6.0169762269999998</v>
      </c>
      <c r="T18">
        <v>0.41156700099999449</v>
      </c>
      <c r="U18" t="s">
        <v>39</v>
      </c>
      <c r="X18">
        <v>2.06</v>
      </c>
      <c r="AA18">
        <v>-3.9</v>
      </c>
      <c r="AD18">
        <v>765.22</v>
      </c>
      <c r="AF18">
        <v>69.02</v>
      </c>
      <c r="AH18">
        <v>4.16</v>
      </c>
      <c r="AI18">
        <v>14.81</v>
      </c>
      <c r="AK18" t="s">
        <v>132</v>
      </c>
      <c r="AL18">
        <f t="shared" si="0"/>
        <v>12.823890187150001</v>
      </c>
      <c r="AM18">
        <f t="shared" si="1"/>
        <v>2.4475053840631734E-2</v>
      </c>
      <c r="AN18">
        <f t="shared" si="2"/>
        <v>3.672379755922469E-2</v>
      </c>
    </row>
    <row r="19" spans="1:40" x14ac:dyDescent="0.2">
      <c r="A19" t="s">
        <v>39</v>
      </c>
      <c r="B19">
        <v>2018</v>
      </c>
      <c r="C19">
        <v>163.4540100762527</v>
      </c>
      <c r="D19">
        <v>96.958401416122001</v>
      </c>
      <c r="E19">
        <v>6.4168028322440094</v>
      </c>
      <c r="F19">
        <v>2.561614923747277</v>
      </c>
      <c r="G19">
        <v>4.3870846949891069</v>
      </c>
      <c r="H19">
        <v>2.5233183551198262</v>
      </c>
      <c r="I19">
        <v>8.0848311546840898E-2</v>
      </c>
      <c r="J19">
        <v>0.25608170000000002</v>
      </c>
      <c r="K19">
        <v>0.38400000000000001</v>
      </c>
      <c r="L19">
        <v>16.8</v>
      </c>
      <c r="M19">
        <v>0.16292829160159689</v>
      </c>
      <c r="N19">
        <v>295</v>
      </c>
      <c r="O19">
        <v>8</v>
      </c>
      <c r="P19">
        <v>26.469001474999999</v>
      </c>
      <c r="Q19">
        <v>44.025813286000002</v>
      </c>
      <c r="R19">
        <v>23.304363953999999</v>
      </c>
      <c r="S19">
        <v>5.4984818579999999</v>
      </c>
      <c r="T19">
        <v>0.7023394269999983</v>
      </c>
      <c r="U19" t="s">
        <v>39</v>
      </c>
      <c r="V19">
        <v>2752.9465687587749</v>
      </c>
      <c r="W19">
        <v>32.528650350083929</v>
      </c>
      <c r="X19">
        <v>2.06</v>
      </c>
      <c r="AA19">
        <v>-4.2699999999999996</v>
      </c>
      <c r="AD19">
        <v>764.33</v>
      </c>
      <c r="AF19">
        <v>67.2</v>
      </c>
      <c r="AH19">
        <v>4.3499999999999996</v>
      </c>
      <c r="AI19">
        <v>15.2</v>
      </c>
      <c r="AK19" t="s">
        <v>132</v>
      </c>
      <c r="AL19">
        <f t="shared" si="0"/>
        <v>12.780142927669999</v>
      </c>
      <c r="AM19">
        <f t="shared" si="1"/>
        <v>2.7334496134121266E-2</v>
      </c>
      <c r="AN19">
        <f t="shared" si="2"/>
        <v>3.9257543019290353E-2</v>
      </c>
    </row>
    <row r="20" spans="1:40" x14ac:dyDescent="0.2">
      <c r="A20" t="s">
        <v>39</v>
      </c>
      <c r="B20">
        <v>2020</v>
      </c>
      <c r="C20">
        <v>168.43514433444841</v>
      </c>
      <c r="D20">
        <v>85.065595582164832</v>
      </c>
      <c r="E20">
        <v>6.6158773287737143</v>
      </c>
      <c r="F20">
        <v>2.7490631822758358</v>
      </c>
      <c r="G20">
        <v>4.2509061766745653</v>
      </c>
      <c r="H20">
        <v>2.0801388600580109</v>
      </c>
      <c r="I20">
        <v>0.1726256315400839</v>
      </c>
      <c r="J20">
        <v>0.30070649999999999</v>
      </c>
      <c r="K20">
        <v>0.372</v>
      </c>
      <c r="L20">
        <v>16.8</v>
      </c>
      <c r="M20">
        <v>0.1543743837447546</v>
      </c>
      <c r="N20">
        <v>301</v>
      </c>
      <c r="O20">
        <v>8</v>
      </c>
      <c r="P20">
        <v>28.621875794000001</v>
      </c>
      <c r="Q20">
        <v>45.710011270999999</v>
      </c>
      <c r="R20">
        <v>19.960649202999999</v>
      </c>
      <c r="S20">
        <v>5.1306146659999996</v>
      </c>
      <c r="T20">
        <v>0.57684906599999408</v>
      </c>
      <c r="U20" t="s">
        <v>39</v>
      </c>
      <c r="V20">
        <v>2535.241524284826</v>
      </c>
      <c r="W20">
        <v>34.390524885842837</v>
      </c>
      <c r="X20">
        <v>5.17</v>
      </c>
      <c r="AA20">
        <v>-2.0699999999999998</v>
      </c>
      <c r="AD20">
        <v>764.21</v>
      </c>
      <c r="AF20">
        <v>64.98</v>
      </c>
      <c r="AH20">
        <v>4.42</v>
      </c>
      <c r="AI20">
        <v>14.95</v>
      </c>
      <c r="AK20" t="s">
        <v>132</v>
      </c>
      <c r="AL20">
        <f t="shared" si="0"/>
        <v>12.91608352924</v>
      </c>
      <c r="AM20">
        <f t="shared" si="1"/>
        <v>2.6262522739501387E-2</v>
      </c>
      <c r="AN20">
        <f t="shared" si="2"/>
        <v>3.9278485228932312E-2</v>
      </c>
    </row>
    <row r="21" spans="1:40" x14ac:dyDescent="0.2">
      <c r="A21" t="s">
        <v>39</v>
      </c>
      <c r="B21">
        <v>2019</v>
      </c>
      <c r="C21">
        <v>158.85542475972139</v>
      </c>
      <c r="D21">
        <v>92.514916540674278</v>
      </c>
      <c r="E21">
        <v>6.0013382984405519</v>
      </c>
      <c r="F21">
        <v>3.0006691492202759</v>
      </c>
      <c r="G21">
        <v>4.1966501386952144</v>
      </c>
      <c r="H21">
        <v>2.3919619789498769</v>
      </c>
      <c r="I21">
        <v>9.0020074476608203E-2</v>
      </c>
      <c r="J21">
        <v>0.28078500000000001</v>
      </c>
      <c r="K21">
        <v>0.38200000000000001</v>
      </c>
      <c r="L21">
        <v>16.899999999999999</v>
      </c>
      <c r="M21">
        <v>0.15795192738443159</v>
      </c>
      <c r="N21">
        <v>210</v>
      </c>
      <c r="O21">
        <v>8</v>
      </c>
      <c r="P21">
        <v>24.530816229999591</v>
      </c>
      <c r="Q21">
        <v>45.460466029662598</v>
      </c>
      <c r="R21">
        <v>22.45911087482877</v>
      </c>
      <c r="S21">
        <v>6.7755512032048948</v>
      </c>
      <c r="T21">
        <v>0.77405566230414991</v>
      </c>
      <c r="U21" t="s">
        <v>39</v>
      </c>
      <c r="V21">
        <v>2760.6447268241068</v>
      </c>
      <c r="W21">
        <v>33.959216144691773</v>
      </c>
      <c r="X21">
        <v>3.81</v>
      </c>
      <c r="AA21">
        <v>-3.41</v>
      </c>
      <c r="AD21">
        <v>763.96</v>
      </c>
      <c r="AF21">
        <v>64.540000000000006</v>
      </c>
      <c r="AH21">
        <v>4.18</v>
      </c>
      <c r="AI21">
        <v>15.1</v>
      </c>
      <c r="AK21" t="s">
        <v>132</v>
      </c>
      <c r="AL21">
        <f t="shared" si="0"/>
        <v>12.700747049367846</v>
      </c>
      <c r="AM21">
        <f t="shared" si="1"/>
        <v>2.6984726644719091E-2</v>
      </c>
      <c r="AN21">
        <f t="shared" si="2"/>
        <v>3.7778617302606732E-2</v>
      </c>
    </row>
    <row r="22" spans="1:40" x14ac:dyDescent="0.2">
      <c r="A22" t="s">
        <v>39</v>
      </c>
      <c r="B22">
        <v>2017</v>
      </c>
      <c r="C22">
        <v>169.317067397112</v>
      </c>
      <c r="D22">
        <v>99.189239457576676</v>
      </c>
      <c r="E22">
        <v>6.5097561800412569</v>
      </c>
      <c r="F22">
        <v>3.0688850563051639</v>
      </c>
      <c r="G22">
        <v>4.1129823137533386</v>
      </c>
      <c r="H22">
        <v>2.578539785600757</v>
      </c>
      <c r="I22">
        <v>6.3406716039362807E-2</v>
      </c>
      <c r="J22">
        <v>0.23805660000000001</v>
      </c>
      <c r="K22">
        <v>0.38200000000000001</v>
      </c>
      <c r="L22">
        <v>17</v>
      </c>
      <c r="M22">
        <v>0.1678533568674504</v>
      </c>
      <c r="N22">
        <v>302</v>
      </c>
      <c r="O22">
        <v>7</v>
      </c>
      <c r="P22">
        <v>28.056918379999999</v>
      </c>
      <c r="Q22">
        <v>44.521525427</v>
      </c>
      <c r="R22">
        <v>21.706243616999998</v>
      </c>
      <c r="S22">
        <v>4.8655153689999997</v>
      </c>
      <c r="T22">
        <v>0.84979720700000883</v>
      </c>
      <c r="U22" t="s">
        <v>39</v>
      </c>
      <c r="V22">
        <v>2792.136448734866</v>
      </c>
      <c r="W22">
        <v>33.760021614004508</v>
      </c>
      <c r="X22">
        <v>2.13</v>
      </c>
      <c r="AA22">
        <v>-3.89</v>
      </c>
      <c r="AD22">
        <v>765.49</v>
      </c>
      <c r="AF22">
        <v>68.709999999999994</v>
      </c>
      <c r="AH22">
        <v>4.1900000000000004</v>
      </c>
      <c r="AI22">
        <v>15.15</v>
      </c>
      <c r="AK22" t="s">
        <v>132</v>
      </c>
      <c r="AL22">
        <f t="shared" si="0"/>
        <v>12.85591113187</v>
      </c>
      <c r="AM22">
        <f t="shared" si="1"/>
        <v>2.4666084134315314E-2</v>
      </c>
      <c r="AN22">
        <f t="shared" si="2"/>
        <v>3.8447135189114974E-2</v>
      </c>
    </row>
    <row r="23" spans="1:40" x14ac:dyDescent="0.2">
      <c r="A23" t="s">
        <v>40</v>
      </c>
      <c r="B23">
        <v>2017</v>
      </c>
      <c r="C23">
        <v>230.807032598609</v>
      </c>
      <c r="D23">
        <v>114.0128119418474</v>
      </c>
      <c r="E23">
        <v>6.510741476167194</v>
      </c>
      <c r="F23">
        <v>3.879004979095781</v>
      </c>
      <c r="G23">
        <v>6.22386972530159</v>
      </c>
      <c r="H23">
        <v>2.7065726059928759</v>
      </c>
      <c r="I23">
        <v>0.14967221784292389</v>
      </c>
      <c r="J23">
        <v>0.37645279999999998</v>
      </c>
      <c r="K23">
        <v>0.39100000000000001</v>
      </c>
      <c r="L23">
        <v>16.7</v>
      </c>
      <c r="M23">
        <v>0.1823667389975665</v>
      </c>
      <c r="N23">
        <v>94</v>
      </c>
      <c r="O23">
        <v>4</v>
      </c>
      <c r="P23">
        <v>29.875800911999999</v>
      </c>
      <c r="Q23">
        <v>45.876795569999999</v>
      </c>
      <c r="R23">
        <v>17.575236362999998</v>
      </c>
      <c r="S23">
        <v>6.0420052460000004</v>
      </c>
      <c r="T23">
        <v>0.63016190899999458</v>
      </c>
      <c r="U23" t="s">
        <v>40</v>
      </c>
      <c r="V23">
        <v>2659.840154920073</v>
      </c>
      <c r="W23">
        <v>30.898119927559559</v>
      </c>
      <c r="X23">
        <v>0.1</v>
      </c>
      <c r="AA23">
        <v>-6.56</v>
      </c>
      <c r="AD23">
        <v>758.93</v>
      </c>
      <c r="AF23">
        <v>65.67</v>
      </c>
      <c r="AH23">
        <v>3.17</v>
      </c>
      <c r="AI23">
        <v>12.63</v>
      </c>
      <c r="AK23" t="s">
        <v>133</v>
      </c>
      <c r="AL23">
        <f t="shared" si="0"/>
        <v>12.947616509329997</v>
      </c>
      <c r="AM23">
        <f t="shared" si="1"/>
        <v>2.7614158335584983E-2</v>
      </c>
      <c r="AN23">
        <f t="shared" si="2"/>
        <v>2.8208592272358828E-2</v>
      </c>
    </row>
    <row r="24" spans="1:40" x14ac:dyDescent="0.2">
      <c r="A24" t="s">
        <v>40</v>
      </c>
      <c r="B24">
        <v>2016</v>
      </c>
      <c r="C24">
        <v>231.55336612514259</v>
      </c>
      <c r="D24">
        <v>111.643574629913</v>
      </c>
      <c r="E24">
        <v>5.9824572508747167</v>
      </c>
      <c r="F24">
        <v>4.790930495513777</v>
      </c>
      <c r="G24">
        <v>6.1562215693648543</v>
      </c>
      <c r="H24">
        <v>2.4202887218269091</v>
      </c>
      <c r="I24">
        <v>0.23582300366518591</v>
      </c>
      <c r="J24">
        <v>0.37230000000000002</v>
      </c>
      <c r="K24">
        <v>0.375</v>
      </c>
      <c r="L24">
        <v>17</v>
      </c>
      <c r="M24">
        <v>0.19031014086650799</v>
      </c>
      <c r="N24">
        <v>95</v>
      </c>
      <c r="O24">
        <v>4</v>
      </c>
      <c r="P24">
        <v>27.825118379999999</v>
      </c>
      <c r="Q24">
        <v>50.406749294000001</v>
      </c>
      <c r="R24">
        <v>15.974130604999999</v>
      </c>
      <c r="S24">
        <v>5.5027256400000004</v>
      </c>
      <c r="T24">
        <v>0.29127608100000663</v>
      </c>
      <c r="U24" t="s">
        <v>40</v>
      </c>
      <c r="X24">
        <v>-0.05</v>
      </c>
      <c r="AA24">
        <v>-5.77</v>
      </c>
      <c r="AD24">
        <v>759.85</v>
      </c>
      <c r="AF24">
        <v>69.97</v>
      </c>
      <c r="AH24">
        <v>2.84</v>
      </c>
      <c r="AI24">
        <v>12.14</v>
      </c>
      <c r="AK24" t="s">
        <v>133</v>
      </c>
      <c r="AL24">
        <f t="shared" si="0"/>
        <v>12.990695882610003</v>
      </c>
      <c r="AM24">
        <f t="shared" si="1"/>
        <v>2.760506003430532E-2</v>
      </c>
      <c r="AN24">
        <f t="shared" si="2"/>
        <v>2.5836192109777011E-2</v>
      </c>
    </row>
    <row r="25" spans="1:40" x14ac:dyDescent="0.2">
      <c r="A25" t="s">
        <v>40</v>
      </c>
      <c r="B25">
        <v>2021</v>
      </c>
      <c r="C25">
        <v>233.17891247125399</v>
      </c>
      <c r="D25">
        <v>99.022058052353046</v>
      </c>
      <c r="E25">
        <v>8.9020088354995739</v>
      </c>
      <c r="F25">
        <v>4.0928776255170458</v>
      </c>
      <c r="G25">
        <v>6.0497847402173823</v>
      </c>
      <c r="H25">
        <v>3.696380105545082</v>
      </c>
      <c r="I25">
        <v>0.15348291095688921</v>
      </c>
      <c r="J25">
        <v>0.71330690000000008</v>
      </c>
      <c r="K25">
        <v>0.39400000000000002</v>
      </c>
      <c r="L25">
        <v>14</v>
      </c>
      <c r="M25">
        <v>0.1611687855115472</v>
      </c>
      <c r="N25">
        <v>104</v>
      </c>
      <c r="O25">
        <v>4</v>
      </c>
      <c r="P25">
        <v>26.79382690347509</v>
      </c>
      <c r="Q25">
        <v>47.415956669934431</v>
      </c>
      <c r="R25">
        <v>16.442988869589581</v>
      </c>
      <c r="S25">
        <v>8.3757126881058106</v>
      </c>
      <c r="T25">
        <v>0.97151486889508476</v>
      </c>
      <c r="U25" t="s">
        <v>40</v>
      </c>
      <c r="V25">
        <v>806.57478999906687</v>
      </c>
      <c r="W25">
        <v>27.605232903272679</v>
      </c>
      <c r="X25">
        <v>2.36</v>
      </c>
      <c r="AA25">
        <v>-3.95</v>
      </c>
      <c r="AD25">
        <v>758.9</v>
      </c>
      <c r="AF25">
        <v>66.97</v>
      </c>
      <c r="AH25">
        <v>2.98</v>
      </c>
      <c r="AI25">
        <v>12.97</v>
      </c>
      <c r="AK25" t="s">
        <v>133</v>
      </c>
      <c r="AL25">
        <f t="shared" si="0"/>
        <v>12.784551914952919</v>
      </c>
      <c r="AM25">
        <f t="shared" si="1"/>
        <v>2.6603038780099817E-2</v>
      </c>
      <c r="AN25">
        <f t="shared" si="2"/>
        <v>3.8176731940102016E-2</v>
      </c>
    </row>
    <row r="26" spans="1:40" x14ac:dyDescent="0.2">
      <c r="A26" t="s">
        <v>40</v>
      </c>
      <c r="B26">
        <v>2018</v>
      </c>
      <c r="C26">
        <v>219.63267637245369</v>
      </c>
      <c r="D26">
        <v>113.6989870043987</v>
      </c>
      <c r="E26">
        <v>8.0408404556977242</v>
      </c>
      <c r="F26">
        <v>3.820025450136769</v>
      </c>
      <c r="G26">
        <v>5.6110537759385997</v>
      </c>
      <c r="H26">
        <v>3.2939891586425261</v>
      </c>
      <c r="I26">
        <v>0.12524673607005801</v>
      </c>
      <c r="J26">
        <v>0.42317660000000001</v>
      </c>
      <c r="K26">
        <v>0.40100000000000002</v>
      </c>
      <c r="L26">
        <v>15.6</v>
      </c>
      <c r="M26">
        <v>0.17536257115175</v>
      </c>
      <c r="N26">
        <v>99</v>
      </c>
      <c r="O26">
        <v>4</v>
      </c>
      <c r="P26">
        <v>30.483689339000001</v>
      </c>
      <c r="Q26">
        <v>47.241951112999999</v>
      </c>
      <c r="R26">
        <v>16.527078306</v>
      </c>
      <c r="S26">
        <v>5.2404794160000003</v>
      </c>
      <c r="T26">
        <v>0.50680182600001444</v>
      </c>
      <c r="U26" t="s">
        <v>40</v>
      </c>
      <c r="V26">
        <v>2629.088326953497</v>
      </c>
      <c r="W26">
        <v>26.631950177355211</v>
      </c>
      <c r="X26">
        <v>2.25</v>
      </c>
      <c r="AA26">
        <v>-6.08</v>
      </c>
      <c r="AD26">
        <v>758.99</v>
      </c>
      <c r="AF26">
        <v>60.29</v>
      </c>
      <c r="AH26">
        <v>3.05</v>
      </c>
      <c r="AI26">
        <v>12.75</v>
      </c>
      <c r="AK26" t="s">
        <v>133</v>
      </c>
      <c r="AL26">
        <f t="shared" si="0"/>
        <v>13.023900879679999</v>
      </c>
      <c r="AM26">
        <f t="shared" si="1"/>
        <v>2.6117700729927015E-2</v>
      </c>
      <c r="AN26">
        <f t="shared" si="2"/>
        <v>3.6610401459854024E-2</v>
      </c>
    </row>
    <row r="27" spans="1:40" x14ac:dyDescent="0.2">
      <c r="A27" t="s">
        <v>40</v>
      </c>
      <c r="B27">
        <v>2020</v>
      </c>
      <c r="C27">
        <v>233.17688635063359</v>
      </c>
      <c r="D27">
        <v>95.551640161813765</v>
      </c>
      <c r="E27">
        <v>7.100870331272688</v>
      </c>
      <c r="F27">
        <v>3.7719418158988609</v>
      </c>
      <c r="G27">
        <v>5.0630091488575317</v>
      </c>
      <c r="H27">
        <v>2.9745178749538002</v>
      </c>
      <c r="I27">
        <v>0.2658079803150204</v>
      </c>
      <c r="J27">
        <v>0.57738719999999999</v>
      </c>
      <c r="K27">
        <v>0.39400000000000002</v>
      </c>
      <c r="L27">
        <v>15.2</v>
      </c>
      <c r="M27">
        <v>0.16449041127393979</v>
      </c>
      <c r="N27">
        <v>100</v>
      </c>
      <c r="O27">
        <v>4</v>
      </c>
      <c r="P27">
        <v>29.125803209000001</v>
      </c>
      <c r="Q27">
        <v>48.560741528000001</v>
      </c>
      <c r="R27">
        <v>15.636396547</v>
      </c>
      <c r="S27">
        <v>6.3534068770000003</v>
      </c>
      <c r="T27">
        <v>0.32365183899999289</v>
      </c>
      <c r="U27" t="s">
        <v>40</v>
      </c>
      <c r="V27">
        <v>2618.5396704239042</v>
      </c>
      <c r="W27">
        <v>27.874588291037011</v>
      </c>
      <c r="X27">
        <v>2.76</v>
      </c>
      <c r="AA27">
        <v>-3.74</v>
      </c>
      <c r="AD27">
        <v>759.26</v>
      </c>
      <c r="AF27">
        <v>66.67</v>
      </c>
      <c r="AH27">
        <v>2.99</v>
      </c>
      <c r="AI27">
        <v>12.75</v>
      </c>
      <c r="AK27" t="s">
        <v>133</v>
      </c>
      <c r="AL27">
        <f t="shared" si="0"/>
        <v>12.986523192649999</v>
      </c>
      <c r="AM27">
        <f t="shared" si="1"/>
        <v>2.2853110411464556E-2</v>
      </c>
      <c r="AN27">
        <f t="shared" si="2"/>
        <v>3.0452719574421888E-2</v>
      </c>
    </row>
    <row r="28" spans="1:40" x14ac:dyDescent="0.2">
      <c r="A28" t="s">
        <v>40</v>
      </c>
      <c r="B28">
        <v>2019</v>
      </c>
      <c r="C28">
        <v>245.94235458160301</v>
      </c>
      <c r="D28">
        <v>100.0133636916063</v>
      </c>
      <c r="E28">
        <v>8.1316802698961421</v>
      </c>
      <c r="F28">
        <v>4.1099655317614614</v>
      </c>
      <c r="G28">
        <v>5.0302952367264506</v>
      </c>
      <c r="H28">
        <v>2.584487527641409</v>
      </c>
      <c r="I28">
        <v>0.17650158725355961</v>
      </c>
      <c r="J28">
        <v>0.50418549999999995</v>
      </c>
      <c r="K28">
        <v>0.4</v>
      </c>
      <c r="L28">
        <v>15.7</v>
      </c>
      <c r="M28">
        <v>0.16829277904406201</v>
      </c>
      <c r="N28">
        <v>66</v>
      </c>
      <c r="O28">
        <v>4</v>
      </c>
      <c r="P28">
        <v>26.75701130403024</v>
      </c>
      <c r="Q28">
        <v>45.765109507286667</v>
      </c>
      <c r="R28">
        <v>18.55865725426057</v>
      </c>
      <c r="S28">
        <v>8.4493514748079566</v>
      </c>
      <c r="T28">
        <v>0.46987045961456891</v>
      </c>
      <c r="U28" t="s">
        <v>40</v>
      </c>
      <c r="V28">
        <v>2569.1645344847798</v>
      </c>
      <c r="W28">
        <v>27.800069416007069</v>
      </c>
      <c r="X28">
        <v>2.29</v>
      </c>
      <c r="AA28">
        <v>-5.46</v>
      </c>
      <c r="AD28">
        <v>758.41</v>
      </c>
      <c r="AF28">
        <v>61.83</v>
      </c>
      <c r="AH28">
        <v>2.9</v>
      </c>
      <c r="AI28">
        <v>12.63</v>
      </c>
      <c r="AK28" t="s">
        <v>133</v>
      </c>
      <c r="AL28">
        <f t="shared" si="0"/>
        <v>12.783704680637763</v>
      </c>
      <c r="AM28">
        <f t="shared" si="1"/>
        <v>2.1170801722370309E-2</v>
      </c>
      <c r="AN28">
        <f t="shared" si="2"/>
        <v>3.3063358622103751E-2</v>
      </c>
    </row>
    <row r="29" spans="1:40" x14ac:dyDescent="0.2">
      <c r="A29" t="s">
        <v>40</v>
      </c>
      <c r="B29">
        <v>2022</v>
      </c>
      <c r="C29">
        <v>212.85540291001479</v>
      </c>
      <c r="D29">
        <v>96.598871092368739</v>
      </c>
      <c r="E29">
        <v>6.7970192647694381</v>
      </c>
      <c r="F29">
        <v>4.5182498002802634</v>
      </c>
      <c r="G29">
        <v>4.8325628298649761</v>
      </c>
      <c r="H29">
        <v>3.7717563550165671</v>
      </c>
      <c r="I29">
        <v>0.1178673860942677</v>
      </c>
      <c r="J29">
        <v>0.79464409999999996</v>
      </c>
      <c r="K29">
        <v>0.40100000000000002</v>
      </c>
      <c r="L29">
        <v>11.9</v>
      </c>
      <c r="M29">
        <v>0.15783883599408041</v>
      </c>
      <c r="N29">
        <v>104</v>
      </c>
      <c r="O29">
        <v>4</v>
      </c>
      <c r="P29">
        <v>27.851600720065189</v>
      </c>
      <c r="Q29">
        <v>50.241381245949903</v>
      </c>
      <c r="R29">
        <v>15.353505090929049</v>
      </c>
      <c r="S29">
        <v>6.2343325723762044</v>
      </c>
      <c r="T29">
        <v>0.31918037067966049</v>
      </c>
      <c r="U29" t="s">
        <v>40</v>
      </c>
      <c r="V29">
        <v>803.32452223691894</v>
      </c>
      <c r="W29">
        <v>27.51537793664113</v>
      </c>
      <c r="X29">
        <v>2.2200000000000002</v>
      </c>
      <c r="AA29">
        <v>-4.5999999999999996</v>
      </c>
      <c r="AD29">
        <v>758.54</v>
      </c>
      <c r="AF29">
        <v>65.31</v>
      </c>
      <c r="AH29">
        <v>2.9</v>
      </c>
      <c r="AI29">
        <v>12.33</v>
      </c>
      <c r="AK29" t="s">
        <v>133</v>
      </c>
      <c r="AL29">
        <f t="shared" si="0"/>
        <v>12.971862376326506</v>
      </c>
      <c r="AM29">
        <f t="shared" si="1"/>
        <v>2.3257244816341598E-2</v>
      </c>
      <c r="AN29">
        <f t="shared" si="2"/>
        <v>3.1932566295453151E-2</v>
      </c>
    </row>
    <row r="30" spans="1:40" x14ac:dyDescent="0.2">
      <c r="A30" t="s">
        <v>41</v>
      </c>
      <c r="B30">
        <v>2018</v>
      </c>
      <c r="C30">
        <v>170.67030532901421</v>
      </c>
      <c r="D30">
        <v>86.703251304419055</v>
      </c>
      <c r="E30">
        <v>7.6055483600367584</v>
      </c>
      <c r="F30">
        <v>3.978286834480766</v>
      </c>
      <c r="G30">
        <v>10.01772227777623</v>
      </c>
      <c r="H30">
        <v>5.2023750912440789</v>
      </c>
      <c r="I30">
        <v>0.71105126679633601</v>
      </c>
      <c r="J30">
        <v>0.52458400000000005</v>
      </c>
      <c r="K30">
        <v>0.376</v>
      </c>
      <c r="L30">
        <v>11.8</v>
      </c>
      <c r="M30">
        <v>0.14661772657703481</v>
      </c>
      <c r="N30">
        <v>215</v>
      </c>
      <c r="O30">
        <v>4</v>
      </c>
      <c r="P30">
        <v>26.409614904000001</v>
      </c>
      <c r="Q30">
        <v>54.256618674000002</v>
      </c>
      <c r="R30">
        <v>13.231484864</v>
      </c>
      <c r="S30">
        <v>5.3660911609999999</v>
      </c>
      <c r="T30">
        <v>0.73619039700000144</v>
      </c>
      <c r="U30" t="s">
        <v>41</v>
      </c>
      <c r="V30">
        <v>2664.434664393722</v>
      </c>
      <c r="W30">
        <v>28.839620879762769</v>
      </c>
      <c r="AK30" t="s">
        <v>134</v>
      </c>
      <c r="AL30">
        <f t="shared" si="0"/>
        <v>12.982661818630003</v>
      </c>
      <c r="AM30">
        <f t="shared" si="1"/>
        <v>6.286256723974265E-2</v>
      </c>
      <c r="AN30">
        <f t="shared" si="2"/>
        <v>4.4562809830186692E-2</v>
      </c>
    </row>
    <row r="31" spans="1:40" x14ac:dyDescent="0.2">
      <c r="A31" t="s">
        <v>41</v>
      </c>
      <c r="B31">
        <v>2017</v>
      </c>
      <c r="C31">
        <v>171.08912091409181</v>
      </c>
      <c r="D31">
        <v>87.822123651624651</v>
      </c>
      <c r="E31">
        <v>6.9619446378317953</v>
      </c>
      <c r="F31">
        <v>3.7706819229229831</v>
      </c>
      <c r="G31">
        <v>8.8428285284624089</v>
      </c>
      <c r="H31">
        <v>5.6961365218623783</v>
      </c>
      <c r="I31">
        <v>0.28525253317620669</v>
      </c>
      <c r="J31">
        <v>0.4660628</v>
      </c>
      <c r="K31">
        <v>0.378</v>
      </c>
      <c r="L31">
        <v>13.2</v>
      </c>
      <c r="M31">
        <v>0.15663917694717339</v>
      </c>
      <c r="N31">
        <v>247</v>
      </c>
      <c r="O31">
        <v>4</v>
      </c>
      <c r="P31">
        <v>25.872531455000001</v>
      </c>
      <c r="Q31">
        <v>57.177639673000002</v>
      </c>
      <c r="R31">
        <v>11.652708792</v>
      </c>
      <c r="S31">
        <v>4.9290112859999997</v>
      </c>
      <c r="T31">
        <v>0.36810879399999408</v>
      </c>
      <c r="U31" t="s">
        <v>41</v>
      </c>
      <c r="V31">
        <v>2667.2978355705282</v>
      </c>
      <c r="W31">
        <v>28.532138828313649</v>
      </c>
      <c r="AK31" t="s">
        <v>134</v>
      </c>
      <c r="AL31">
        <f t="shared" si="0"/>
        <v>13.054106210360001</v>
      </c>
      <c r="AM31">
        <f t="shared" si="1"/>
        <v>5.3352784869483652E-2</v>
      </c>
      <c r="AN31">
        <f t="shared" si="2"/>
        <v>4.0691918928776098E-2</v>
      </c>
    </row>
    <row r="32" spans="1:40" x14ac:dyDescent="0.2">
      <c r="A32" t="s">
        <v>41</v>
      </c>
      <c r="B32">
        <v>2020</v>
      </c>
      <c r="C32">
        <v>174.60253527934211</v>
      </c>
      <c r="D32">
        <v>77.817770389519083</v>
      </c>
      <c r="E32">
        <v>7.5337048618485136</v>
      </c>
      <c r="F32">
        <v>3.7622754534869238</v>
      </c>
      <c r="G32">
        <v>8.6230254919335341</v>
      </c>
      <c r="H32">
        <v>4.055202009476174</v>
      </c>
      <c r="I32">
        <v>0.37531214986122602</v>
      </c>
      <c r="J32">
        <v>0.54851840000000007</v>
      </c>
      <c r="K32">
        <v>0.36599999999999999</v>
      </c>
      <c r="L32">
        <v>11.4</v>
      </c>
      <c r="M32">
        <v>0.13172834593447399</v>
      </c>
      <c r="N32">
        <v>218</v>
      </c>
      <c r="O32">
        <v>4</v>
      </c>
      <c r="P32">
        <v>27.429487117000001</v>
      </c>
      <c r="Q32">
        <v>55.771142011000002</v>
      </c>
      <c r="R32">
        <v>11.648073720999999</v>
      </c>
      <c r="S32">
        <v>4.7043550280000002</v>
      </c>
      <c r="T32">
        <v>0.44694212299999952</v>
      </c>
      <c r="U32" t="s">
        <v>41</v>
      </c>
      <c r="V32">
        <v>2827.0717199303508</v>
      </c>
      <c r="W32">
        <v>27.316211907496481</v>
      </c>
      <c r="AK32" t="s">
        <v>134</v>
      </c>
      <c r="AL32">
        <f t="shared" si="0"/>
        <v>13.087229275730001</v>
      </c>
      <c r="AM32">
        <f t="shared" si="1"/>
        <v>5.1536122470378518E-2</v>
      </c>
      <c r="AN32">
        <f t="shared" si="2"/>
        <v>4.3147740379574286E-2</v>
      </c>
    </row>
    <row r="33" spans="1:40" x14ac:dyDescent="0.2">
      <c r="A33" t="s">
        <v>41</v>
      </c>
      <c r="B33">
        <v>2016</v>
      </c>
      <c r="C33">
        <v>176.9004813137033</v>
      </c>
      <c r="D33">
        <v>87.742426387315973</v>
      </c>
      <c r="E33">
        <v>6.9100368063420161</v>
      </c>
      <c r="F33">
        <v>4.4857729331823331</v>
      </c>
      <c r="G33">
        <v>8.4406851642129102</v>
      </c>
      <c r="H33">
        <v>4.8485277463193661</v>
      </c>
      <c r="I33">
        <v>0.21234428086070209</v>
      </c>
      <c r="J33">
        <v>0.41909030000000003</v>
      </c>
      <c r="K33">
        <v>0.36499999999999999</v>
      </c>
      <c r="L33">
        <v>14.3</v>
      </c>
      <c r="M33">
        <v>0.16602085513131989</v>
      </c>
      <c r="N33">
        <v>259</v>
      </c>
      <c r="O33">
        <v>4</v>
      </c>
      <c r="P33">
        <v>26.255080367000001</v>
      </c>
      <c r="Q33">
        <v>56.193584698000002</v>
      </c>
      <c r="R33">
        <v>11.581341299</v>
      </c>
      <c r="S33">
        <v>5.533468225</v>
      </c>
      <c r="T33">
        <v>0.43652541099999098</v>
      </c>
      <c r="U33" t="s">
        <v>41</v>
      </c>
      <c r="AK33" t="s">
        <v>134</v>
      </c>
      <c r="AL33">
        <f t="shared" si="0"/>
        <v>13.032848765370002</v>
      </c>
      <c r="AM33">
        <f t="shared" si="1"/>
        <v>4.8914674402320689E-2</v>
      </c>
      <c r="AN33">
        <f t="shared" si="2"/>
        <v>3.9061718515554664E-2</v>
      </c>
    </row>
    <row r="34" spans="1:40" x14ac:dyDescent="0.2">
      <c r="A34" t="s">
        <v>41</v>
      </c>
      <c r="B34">
        <v>2021</v>
      </c>
      <c r="C34">
        <v>156.98343527342789</v>
      </c>
      <c r="D34">
        <v>70.705354025540757</v>
      </c>
      <c r="E34">
        <v>8.0911678806497314</v>
      </c>
      <c r="F34">
        <v>4.1287123774548293</v>
      </c>
      <c r="G34">
        <v>8.0542219085919697</v>
      </c>
      <c r="H34">
        <v>4.766030395451212</v>
      </c>
      <c r="I34">
        <v>0.5449530878519796</v>
      </c>
      <c r="J34">
        <v>0.68121449999999995</v>
      </c>
      <c r="K34">
        <v>0.371</v>
      </c>
      <c r="L34">
        <v>10.7</v>
      </c>
      <c r="M34">
        <v>0.12849254108333119</v>
      </c>
      <c r="N34">
        <v>217</v>
      </c>
      <c r="O34">
        <v>4</v>
      </c>
      <c r="P34">
        <v>26.882670822365309</v>
      </c>
      <c r="Q34">
        <v>55.555859719319372</v>
      </c>
      <c r="R34">
        <v>11.05659099094189</v>
      </c>
      <c r="S34">
        <v>5.9186023961030161</v>
      </c>
      <c r="T34">
        <v>0.5862760712704187</v>
      </c>
      <c r="U34" t="s">
        <v>41</v>
      </c>
      <c r="V34">
        <v>902.17060655369846</v>
      </c>
      <c r="W34">
        <v>30.95477510910942</v>
      </c>
      <c r="AK34" t="s">
        <v>134</v>
      </c>
      <c r="AL34">
        <f t="shared" si="0"/>
        <v>13.02701265437001</v>
      </c>
      <c r="AM34">
        <f t="shared" si="1"/>
        <v>5.4777594728171335E-2</v>
      </c>
      <c r="AN34">
        <f t="shared" si="2"/>
        <v>5.1541539185690752E-2</v>
      </c>
    </row>
    <row r="35" spans="1:40" x14ac:dyDescent="0.2">
      <c r="A35" t="s">
        <v>41</v>
      </c>
      <c r="B35">
        <v>2019</v>
      </c>
      <c r="C35">
        <v>174.0450244935426</v>
      </c>
      <c r="D35">
        <v>81.860236846649528</v>
      </c>
      <c r="E35">
        <v>7.4980232484163274</v>
      </c>
      <c r="F35">
        <v>3.5990511592398371</v>
      </c>
      <c r="G35">
        <v>8.0342455170909499</v>
      </c>
      <c r="H35">
        <v>4.5533450272200966</v>
      </c>
      <c r="I35">
        <v>0.32718646902180332</v>
      </c>
      <c r="J35">
        <v>0.54698969999999991</v>
      </c>
      <c r="K35">
        <v>0.375</v>
      </c>
      <c r="L35">
        <v>11.8</v>
      </c>
      <c r="M35">
        <v>0.13758565566771519</v>
      </c>
      <c r="N35">
        <v>161</v>
      </c>
      <c r="O35">
        <v>4</v>
      </c>
      <c r="P35">
        <v>27.907906688081749</v>
      </c>
      <c r="Q35">
        <v>53.543648530039412</v>
      </c>
      <c r="R35">
        <v>12.25260676279728</v>
      </c>
      <c r="S35">
        <v>5.5432875079172224</v>
      </c>
      <c r="T35">
        <v>0.75255051116431559</v>
      </c>
      <c r="U35" t="s">
        <v>41</v>
      </c>
      <c r="V35">
        <v>2752.5960860424379</v>
      </c>
      <c r="W35">
        <v>28.089253294430279</v>
      </c>
      <c r="AK35" t="s">
        <v>134</v>
      </c>
      <c r="AL35">
        <f t="shared" si="0"/>
        <v>13.023644952184208</v>
      </c>
      <c r="AM35">
        <f t="shared" si="1"/>
        <v>4.8041775456919074E-2</v>
      </c>
      <c r="AN35">
        <f t="shared" si="2"/>
        <v>4.3080939947780686E-2</v>
      </c>
    </row>
    <row r="36" spans="1:40" x14ac:dyDescent="0.2">
      <c r="A36" t="s">
        <v>41</v>
      </c>
      <c r="B36">
        <v>2022</v>
      </c>
      <c r="C36">
        <v>165.21165713610819</v>
      </c>
      <c r="D36">
        <v>71.267580681672783</v>
      </c>
      <c r="E36">
        <v>9.3501176146373624</v>
      </c>
      <c r="F36">
        <v>4.0451561469641639</v>
      </c>
      <c r="G36">
        <v>7.5686741533222452</v>
      </c>
      <c r="H36">
        <v>4.0451561469641639</v>
      </c>
      <c r="I36">
        <v>0.20668681042882589</v>
      </c>
      <c r="J36">
        <v>0.72223409999999999</v>
      </c>
      <c r="K36">
        <v>0.36599999999999999</v>
      </c>
      <c r="L36">
        <v>9.1999999999999993</v>
      </c>
      <c r="M36">
        <v>0.12696278653189369</v>
      </c>
      <c r="N36">
        <v>216</v>
      </c>
      <c r="O36">
        <v>4</v>
      </c>
      <c r="P36">
        <v>27.23693854388004</v>
      </c>
      <c r="Q36">
        <v>57.320848885996938</v>
      </c>
      <c r="R36">
        <v>10.1645516068495</v>
      </c>
      <c r="S36">
        <v>4.8240151961721676</v>
      </c>
      <c r="T36">
        <v>0.45364576710134941</v>
      </c>
      <c r="U36" t="s">
        <v>41</v>
      </c>
      <c r="V36">
        <v>933.82696402603221</v>
      </c>
      <c r="W36">
        <v>30.22268984175729</v>
      </c>
      <c r="AK36" t="s">
        <v>134</v>
      </c>
      <c r="AL36">
        <f t="shared" si="0"/>
        <v>13.107659011854601</v>
      </c>
      <c r="AM36">
        <f t="shared" si="1"/>
        <v>4.7063028714404861E-2</v>
      </c>
      <c r="AN36">
        <f t="shared" si="2"/>
        <v>5.6594781365423563E-2</v>
      </c>
    </row>
    <row r="37" spans="1:40" x14ac:dyDescent="0.2">
      <c r="A37" t="s">
        <v>42</v>
      </c>
      <c r="B37">
        <v>2021</v>
      </c>
      <c r="C37">
        <v>138.31734113199531</v>
      </c>
      <c r="D37">
        <v>78.734949056804211</v>
      </c>
      <c r="E37">
        <v>8.1180382810605174</v>
      </c>
      <c r="F37">
        <v>2.8563468025953669</v>
      </c>
      <c r="G37">
        <v>10.57349430434425</v>
      </c>
      <c r="H37">
        <v>5.9231612643293392</v>
      </c>
      <c r="I37">
        <v>4.0089077931163002E-2</v>
      </c>
      <c r="J37">
        <v>0.6889883</v>
      </c>
      <c r="K37">
        <v>0.35899999999999999</v>
      </c>
      <c r="L37">
        <v>15</v>
      </c>
      <c r="M37">
        <v>0.1533954232346946</v>
      </c>
      <c r="N37">
        <v>101</v>
      </c>
      <c r="O37">
        <v>6</v>
      </c>
      <c r="P37">
        <v>34.453007310854787</v>
      </c>
      <c r="Q37">
        <v>44.500784877134542</v>
      </c>
      <c r="R37">
        <v>15.44104885635887</v>
      </c>
      <c r="S37">
        <v>5.185272664453656</v>
      </c>
      <c r="T37">
        <v>0.41988629119813942</v>
      </c>
      <c r="U37" t="s">
        <v>42</v>
      </c>
      <c r="V37">
        <v>969.43934149293625</v>
      </c>
      <c r="W37">
        <v>38.214959492329321</v>
      </c>
      <c r="AK37" t="s">
        <v>131</v>
      </c>
      <c r="AL37">
        <f t="shared" si="0"/>
        <v>13.13503849630394</v>
      </c>
      <c r="AM37">
        <f t="shared" si="1"/>
        <v>7.6733570031157133E-2</v>
      </c>
      <c r="AN37">
        <f t="shared" si="2"/>
        <v>5.8691399173972904E-2</v>
      </c>
    </row>
    <row r="38" spans="1:40" x14ac:dyDescent="0.2">
      <c r="A38" t="s">
        <v>42</v>
      </c>
      <c r="B38">
        <v>2017</v>
      </c>
      <c r="C38">
        <v>131.8328416101823</v>
      </c>
      <c r="D38">
        <v>80.285336835265866</v>
      </c>
      <c r="E38">
        <v>6.4679751802494154</v>
      </c>
      <c r="F38">
        <v>3.268339506863513</v>
      </c>
      <c r="G38">
        <v>9.0590911856907557</v>
      </c>
      <c r="H38">
        <v>5.2705655110681873</v>
      </c>
      <c r="I38">
        <v>8.8333500185500305E-2</v>
      </c>
      <c r="J38">
        <v>0.44284610000000002</v>
      </c>
      <c r="K38">
        <v>0.36599999999999999</v>
      </c>
      <c r="L38">
        <v>15.2</v>
      </c>
      <c r="M38">
        <v>0.18511532889278071</v>
      </c>
      <c r="N38">
        <v>91</v>
      </c>
      <c r="O38">
        <v>6</v>
      </c>
      <c r="P38">
        <v>34.028541595</v>
      </c>
      <c r="Q38">
        <v>46.694089167000001</v>
      </c>
      <c r="R38">
        <v>13.423066657</v>
      </c>
      <c r="S38">
        <v>5.3381428470000003</v>
      </c>
      <c r="T38">
        <v>0.5161597340000128</v>
      </c>
      <c r="U38" t="s">
        <v>42</v>
      </c>
      <c r="V38">
        <v>2621.169224044796</v>
      </c>
      <c r="W38">
        <v>35.34589328812848</v>
      </c>
      <c r="AK38" t="s">
        <v>131</v>
      </c>
      <c r="AL38">
        <f t="shared" si="0"/>
        <v>13.15212940882</v>
      </c>
      <c r="AM38">
        <f t="shared" si="1"/>
        <v>6.9386539606908854E-2</v>
      </c>
      <c r="AN38">
        <f t="shared" si="2"/>
        <v>4.9061941631923768E-2</v>
      </c>
    </row>
    <row r="39" spans="1:40" x14ac:dyDescent="0.2">
      <c r="A39" t="s">
        <v>42</v>
      </c>
      <c r="B39">
        <v>2018</v>
      </c>
      <c r="C39">
        <v>131.95887231035641</v>
      </c>
      <c r="D39">
        <v>82.278966186214632</v>
      </c>
      <c r="E39">
        <v>7.3119387055116682</v>
      </c>
      <c r="F39">
        <v>2.869739384421246</v>
      </c>
      <c r="G39">
        <v>8.894226516785027</v>
      </c>
      <c r="H39">
        <v>5.002388173528816</v>
      </c>
      <c r="I39">
        <v>0.14741811906273519</v>
      </c>
      <c r="J39">
        <v>0.58256560000000002</v>
      </c>
      <c r="K39">
        <v>0.36899999999999999</v>
      </c>
      <c r="L39">
        <v>14.8</v>
      </c>
      <c r="M39">
        <v>0.1774812738306859</v>
      </c>
      <c r="N39">
        <v>94</v>
      </c>
      <c r="O39">
        <v>6</v>
      </c>
      <c r="P39">
        <v>33.327766500999999</v>
      </c>
      <c r="Q39">
        <v>45.571577462</v>
      </c>
      <c r="R39">
        <v>15.763377386</v>
      </c>
      <c r="S39">
        <v>4.8556690119999999</v>
      </c>
      <c r="T39">
        <v>0.48160963899999842</v>
      </c>
      <c r="U39" t="s">
        <v>42</v>
      </c>
      <c r="V39">
        <v>2743.0184540505729</v>
      </c>
      <c r="W39">
        <v>34.188011401320878</v>
      </c>
      <c r="AK39" t="s">
        <v>131</v>
      </c>
      <c r="AL39">
        <f t="shared" si="0"/>
        <v>13.11371615431</v>
      </c>
      <c r="AM39">
        <f t="shared" si="1"/>
        <v>6.8518656438519399E-2</v>
      </c>
      <c r="AN39">
        <f t="shared" si="2"/>
        <v>5.5410739554628732E-2</v>
      </c>
    </row>
    <row r="40" spans="1:40" x14ac:dyDescent="0.2">
      <c r="A40" t="s">
        <v>42</v>
      </c>
      <c r="B40">
        <v>2019</v>
      </c>
      <c r="C40">
        <v>129.2816535429188</v>
      </c>
      <c r="D40">
        <v>81.296563829734779</v>
      </c>
      <c r="E40">
        <v>7.6227855216381588</v>
      </c>
      <c r="F40">
        <v>3.382426175836855</v>
      </c>
      <c r="G40">
        <v>8.3229378787355834</v>
      </c>
      <c r="H40">
        <v>4.7137017844023807</v>
      </c>
      <c r="I40">
        <v>0.13805821125864709</v>
      </c>
      <c r="J40">
        <v>0.61066149999999997</v>
      </c>
      <c r="K40">
        <v>0.36299999999999999</v>
      </c>
      <c r="L40">
        <v>15.1</v>
      </c>
      <c r="M40">
        <v>0.16928132800849169</v>
      </c>
      <c r="N40">
        <v>81</v>
      </c>
      <c r="O40">
        <v>1</v>
      </c>
      <c r="P40">
        <v>33.858773252967907</v>
      </c>
      <c r="Q40">
        <v>45.740840585183577</v>
      </c>
      <c r="R40">
        <v>15.57158703002383</v>
      </c>
      <c r="S40">
        <v>4.3841608630000168</v>
      </c>
      <c r="T40">
        <v>0.4446382688246473</v>
      </c>
      <c r="U40" t="s">
        <v>42</v>
      </c>
      <c r="V40">
        <v>2827.7738382855391</v>
      </c>
      <c r="W40">
        <v>34.907076626258352</v>
      </c>
      <c r="AK40" t="s">
        <v>131</v>
      </c>
      <c r="AL40">
        <f t="shared" si="0"/>
        <v>13.15035984574466</v>
      </c>
      <c r="AM40">
        <f t="shared" si="1"/>
        <v>6.5446224256292929E-2</v>
      </c>
      <c r="AN40">
        <f t="shared" si="2"/>
        <v>5.8962623951182319E-2</v>
      </c>
    </row>
    <row r="41" spans="1:40" x14ac:dyDescent="0.2">
      <c r="A41" t="s">
        <v>42</v>
      </c>
      <c r="B41">
        <v>2022</v>
      </c>
      <c r="C41">
        <v>136.37901295924291</v>
      </c>
      <c r="D41">
        <v>76.291643522675542</v>
      </c>
      <c r="E41">
        <v>9.74135806851735</v>
      </c>
      <c r="F41">
        <v>3.4872600159536922</v>
      </c>
      <c r="G41">
        <v>8.1647824325622373</v>
      </c>
      <c r="H41">
        <v>5.324858108192764</v>
      </c>
      <c r="I41">
        <v>5.2204491256791802E-2</v>
      </c>
      <c r="J41">
        <v>0.80199980000000004</v>
      </c>
      <c r="K41">
        <v>0.35199999999999998</v>
      </c>
      <c r="L41">
        <v>12.5</v>
      </c>
      <c r="M41">
        <v>0.1493215504316267</v>
      </c>
      <c r="N41">
        <v>99</v>
      </c>
      <c r="O41">
        <v>6</v>
      </c>
      <c r="P41">
        <v>31.660116657335891</v>
      </c>
      <c r="Q41">
        <v>49.699280123207657</v>
      </c>
      <c r="R41">
        <v>13.842720585233179</v>
      </c>
      <c r="S41">
        <v>4.5977038241616262</v>
      </c>
      <c r="T41">
        <v>0.2001788100616437</v>
      </c>
      <c r="U41" t="s">
        <v>42</v>
      </c>
      <c r="V41">
        <v>964.14876558317428</v>
      </c>
      <c r="W41">
        <v>40.02799457265381</v>
      </c>
      <c r="AK41" t="s">
        <v>131</v>
      </c>
      <c r="AL41">
        <f t="shared" si="0"/>
        <v>13.15442367557004</v>
      </c>
      <c r="AM41">
        <f t="shared" si="1"/>
        <v>6.0251110090338372E-2</v>
      </c>
      <c r="AN41">
        <f t="shared" si="2"/>
        <v>7.1428571428571425E-2</v>
      </c>
    </row>
    <row r="42" spans="1:40" x14ac:dyDescent="0.2">
      <c r="A42" t="s">
        <v>42</v>
      </c>
      <c r="B42">
        <v>2016</v>
      </c>
      <c r="C42">
        <v>136.38960717672629</v>
      </c>
      <c r="D42">
        <v>90.592621825871319</v>
      </c>
      <c r="E42">
        <v>8.5801854655192376</v>
      </c>
      <c r="F42">
        <v>3.6617953989000869</v>
      </c>
      <c r="G42">
        <v>8.050059590075259</v>
      </c>
      <c r="H42">
        <v>5.1245501292918103</v>
      </c>
      <c r="I42">
        <v>0.1963429168311038</v>
      </c>
      <c r="J42">
        <v>0.36748320000000001</v>
      </c>
      <c r="K42">
        <v>0.38600000000000001</v>
      </c>
      <c r="L42">
        <v>15.8</v>
      </c>
      <c r="M42">
        <v>0.19427826353735231</v>
      </c>
      <c r="N42">
        <v>83</v>
      </c>
      <c r="O42">
        <v>6</v>
      </c>
      <c r="P42">
        <v>30.367174624</v>
      </c>
      <c r="Q42">
        <v>49.090052024000002</v>
      </c>
      <c r="R42">
        <v>14.681540196</v>
      </c>
      <c r="S42">
        <v>5.5102401370000003</v>
      </c>
      <c r="T42">
        <v>0.35099301900000057</v>
      </c>
      <c r="U42" t="s">
        <v>42</v>
      </c>
      <c r="AK42" t="s">
        <v>131</v>
      </c>
      <c r="AL42">
        <f t="shared" si="0"/>
        <v>13.06171371137</v>
      </c>
      <c r="AM42">
        <f t="shared" si="1"/>
        <v>6.0462103217447639E-2</v>
      </c>
      <c r="AN42">
        <f t="shared" si="2"/>
        <v>6.2909378823868128E-2</v>
      </c>
    </row>
    <row r="43" spans="1:40" x14ac:dyDescent="0.2">
      <c r="A43" t="s">
        <v>42</v>
      </c>
      <c r="B43">
        <v>2020</v>
      </c>
      <c r="C43">
        <v>139.78178173799091</v>
      </c>
      <c r="D43">
        <v>77.591366717638607</v>
      </c>
      <c r="E43">
        <v>7.347516658679516</v>
      </c>
      <c r="F43">
        <v>3.002638742789193</v>
      </c>
      <c r="G43">
        <v>7.2580340471394402</v>
      </c>
      <c r="H43">
        <v>4.1659126928101724</v>
      </c>
      <c r="I43">
        <v>7.9540099146733503E-2</v>
      </c>
      <c r="J43">
        <v>0.541099</v>
      </c>
      <c r="K43">
        <v>0.35699999999999998</v>
      </c>
      <c r="L43">
        <v>15.2</v>
      </c>
      <c r="M43">
        <v>0.159855500619939</v>
      </c>
      <c r="N43">
        <v>101</v>
      </c>
      <c r="O43">
        <v>6</v>
      </c>
      <c r="P43">
        <v>33.661168472</v>
      </c>
      <c r="Q43">
        <v>47.252157902</v>
      </c>
      <c r="R43">
        <v>14.778898666</v>
      </c>
      <c r="S43">
        <v>3.8579385460000002</v>
      </c>
      <c r="T43">
        <v>0.4498364139999893</v>
      </c>
      <c r="U43" t="s">
        <v>42</v>
      </c>
      <c r="V43">
        <v>2802.475166359442</v>
      </c>
      <c r="W43">
        <v>36.964073545417477</v>
      </c>
      <c r="AK43" t="s">
        <v>131</v>
      </c>
      <c r="AL43">
        <f t="shared" si="0"/>
        <v>13.182842577019999</v>
      </c>
      <c r="AM43">
        <f t="shared" si="1"/>
        <v>5.2493064940607452E-2</v>
      </c>
      <c r="AN43">
        <f t="shared" si="2"/>
        <v>5.2564193754890125E-2</v>
      </c>
    </row>
    <row r="44" spans="1:40" x14ac:dyDescent="0.2">
      <c r="A44" t="s">
        <v>43</v>
      </c>
      <c r="B44">
        <v>2022</v>
      </c>
      <c r="C44">
        <v>124.0364149074413</v>
      </c>
      <c r="D44">
        <v>51.380614186895613</v>
      </c>
      <c r="E44">
        <v>6.7601569158042736</v>
      </c>
      <c r="F44">
        <v>2.0920803759683508</v>
      </c>
      <c r="G44">
        <v>6.9092420827833267</v>
      </c>
      <c r="H44">
        <v>2.2900459255634869</v>
      </c>
      <c r="I44">
        <v>0.18085741567950689</v>
      </c>
      <c r="J44">
        <v>0.54904799999999998</v>
      </c>
      <c r="K44">
        <v>0.377</v>
      </c>
      <c r="L44">
        <v>10</v>
      </c>
      <c r="M44">
        <v>0.14783456238982051</v>
      </c>
      <c r="N44">
        <v>568</v>
      </c>
      <c r="O44">
        <v>10</v>
      </c>
      <c r="P44">
        <v>29.054809975917319</v>
      </c>
      <c r="Q44">
        <v>55.288068043172451</v>
      </c>
      <c r="R44">
        <v>12.40376820757508</v>
      </c>
      <c r="S44">
        <v>3.1219830722512758</v>
      </c>
      <c r="T44">
        <v>0.13137070108388119</v>
      </c>
      <c r="U44" t="s">
        <v>117</v>
      </c>
      <c r="V44">
        <v>946.41533191044766</v>
      </c>
      <c r="W44">
        <v>31.636510569368571</v>
      </c>
      <c r="X44">
        <v>4.32</v>
      </c>
      <c r="AA44">
        <v>-0.49</v>
      </c>
      <c r="AD44">
        <v>762.46</v>
      </c>
      <c r="AF44">
        <v>74.680000000000007</v>
      </c>
      <c r="AH44">
        <v>3.79</v>
      </c>
      <c r="AI44">
        <v>14.38</v>
      </c>
      <c r="AK44" t="s">
        <v>135</v>
      </c>
      <c r="AL44">
        <f t="shared" si="0"/>
        <v>13.196318149379245</v>
      </c>
      <c r="AM44">
        <f t="shared" si="1"/>
        <v>5.716143524265533E-2</v>
      </c>
      <c r="AN44">
        <f t="shared" si="2"/>
        <v>5.4501389135189461E-2</v>
      </c>
    </row>
    <row r="45" spans="1:40" x14ac:dyDescent="0.2">
      <c r="A45" t="s">
        <v>43</v>
      </c>
      <c r="B45">
        <v>2020</v>
      </c>
      <c r="C45">
        <v>138.38759372792151</v>
      </c>
      <c r="D45">
        <v>54.869171558963487</v>
      </c>
      <c r="E45">
        <v>8.4345533388919822</v>
      </c>
      <c r="F45">
        <v>1.9390062432038819</v>
      </c>
      <c r="G45">
        <v>6.4039210024587989</v>
      </c>
      <c r="H45">
        <v>2.0677780499045242</v>
      </c>
      <c r="I45">
        <v>8.9149712331212896E-2</v>
      </c>
      <c r="J45">
        <v>0.41276770000000002</v>
      </c>
      <c r="K45">
        <v>0.39100000000000001</v>
      </c>
      <c r="L45">
        <v>11.8</v>
      </c>
      <c r="M45">
        <v>0.1588563992614338</v>
      </c>
      <c r="N45">
        <v>523</v>
      </c>
      <c r="O45">
        <v>10</v>
      </c>
      <c r="P45">
        <v>31.256169894999999</v>
      </c>
      <c r="Q45">
        <v>52.120740941000001</v>
      </c>
      <c r="R45">
        <v>13.982857628</v>
      </c>
      <c r="S45">
        <v>2.5700253759999998</v>
      </c>
      <c r="T45">
        <v>7.0206159999983697E-2</v>
      </c>
      <c r="U45" t="s">
        <v>117</v>
      </c>
      <c r="V45">
        <v>2968.7425787447878</v>
      </c>
      <c r="W45">
        <v>32.646337205919437</v>
      </c>
      <c r="X45">
        <v>5.53</v>
      </c>
      <c r="AA45">
        <v>0.85</v>
      </c>
      <c r="AD45">
        <v>763.04</v>
      </c>
      <c r="AF45">
        <v>75.67</v>
      </c>
      <c r="AH45">
        <v>4.17</v>
      </c>
      <c r="AI45">
        <v>14.03</v>
      </c>
      <c r="AK45" t="s">
        <v>135</v>
      </c>
      <c r="AL45">
        <f t="shared" si="0"/>
        <v>13.236346675900002</v>
      </c>
      <c r="AM45">
        <f t="shared" si="1"/>
        <v>4.6919456722080061E-2</v>
      </c>
      <c r="AN45">
        <f t="shared" si="2"/>
        <v>6.0948767961634127E-2</v>
      </c>
    </row>
    <row r="46" spans="1:40" x14ac:dyDescent="0.2">
      <c r="A46" t="s">
        <v>43</v>
      </c>
      <c r="B46">
        <v>2021</v>
      </c>
      <c r="C46">
        <v>130.6422415146198</v>
      </c>
      <c r="D46">
        <v>55.070200553791359</v>
      </c>
      <c r="E46">
        <v>7.1129850968636594</v>
      </c>
      <c r="F46">
        <v>2.0055877418477221</v>
      </c>
      <c r="G46">
        <v>6.3381555469075828</v>
      </c>
      <c r="H46">
        <v>2.147598302450604</v>
      </c>
      <c r="I46">
        <v>8.2216640349037001E-2</v>
      </c>
      <c r="J46">
        <v>0.49245090000000002</v>
      </c>
      <c r="K46">
        <v>0.39300000000000002</v>
      </c>
      <c r="L46">
        <v>11.6</v>
      </c>
      <c r="M46">
        <v>0.1524640675883091</v>
      </c>
      <c r="N46">
        <v>521</v>
      </c>
      <c r="O46">
        <v>10</v>
      </c>
      <c r="P46">
        <v>30.279972938628511</v>
      </c>
      <c r="Q46">
        <v>54.477642796982209</v>
      </c>
      <c r="R46">
        <v>11.399190808087541</v>
      </c>
      <c r="S46">
        <v>3.702535535116191</v>
      </c>
      <c r="T46">
        <v>0.14065792118553591</v>
      </c>
      <c r="U46" t="s">
        <v>117</v>
      </c>
      <c r="V46">
        <v>950.95766737338772</v>
      </c>
      <c r="W46">
        <v>29.953410809975811</v>
      </c>
      <c r="X46">
        <v>5.52</v>
      </c>
      <c r="AA46">
        <v>-0.87</v>
      </c>
      <c r="AD46">
        <v>762.76</v>
      </c>
      <c r="AF46">
        <v>68.739999999999995</v>
      </c>
      <c r="AH46">
        <v>4.2699999999999996</v>
      </c>
      <c r="AI46">
        <v>14.02</v>
      </c>
      <c r="AK46" t="s">
        <v>135</v>
      </c>
      <c r="AL46">
        <f t="shared" si="0"/>
        <v>13.216855008299472</v>
      </c>
      <c r="AM46">
        <f t="shared" si="1"/>
        <v>4.9144687911207754E-2</v>
      </c>
      <c r="AN46">
        <f t="shared" si="2"/>
        <v>5.4446287926464165E-2</v>
      </c>
    </row>
    <row r="47" spans="1:40" x14ac:dyDescent="0.2">
      <c r="A47" t="s">
        <v>43</v>
      </c>
      <c r="B47">
        <v>2018</v>
      </c>
      <c r="C47">
        <v>141.33364244222611</v>
      </c>
      <c r="D47">
        <v>64.747976579587046</v>
      </c>
      <c r="E47">
        <v>7.2921150406825186</v>
      </c>
      <c r="F47">
        <v>2.2297186050821338</v>
      </c>
      <c r="G47">
        <v>6.044358602739206</v>
      </c>
      <c r="H47">
        <v>2.082055121301861</v>
      </c>
      <c r="I47">
        <v>4.4299045134082102E-2</v>
      </c>
      <c r="J47">
        <v>0.42213339999999999</v>
      </c>
      <c r="K47">
        <v>0.40899999999999997</v>
      </c>
      <c r="L47">
        <v>12.2</v>
      </c>
      <c r="M47">
        <v>0.176011242986474</v>
      </c>
      <c r="N47">
        <v>548</v>
      </c>
      <c r="O47">
        <v>10</v>
      </c>
      <c r="P47">
        <v>28.427024709000001</v>
      </c>
      <c r="Q47">
        <v>54.051687131000001</v>
      </c>
      <c r="R47">
        <v>13.195474126000001</v>
      </c>
      <c r="S47">
        <v>4.0396769639999999</v>
      </c>
      <c r="T47">
        <v>0.28613706999999522</v>
      </c>
      <c r="U47" t="s">
        <v>117</v>
      </c>
      <c r="V47">
        <v>3169.7899900047551</v>
      </c>
      <c r="W47">
        <v>31.81629638509046</v>
      </c>
      <c r="X47">
        <v>3.51</v>
      </c>
      <c r="AA47">
        <v>-1.46</v>
      </c>
      <c r="AD47">
        <v>764.14</v>
      </c>
      <c r="AF47">
        <v>73.2</v>
      </c>
      <c r="AH47">
        <v>3.92</v>
      </c>
      <c r="AI47">
        <v>14.3</v>
      </c>
      <c r="AK47" t="s">
        <v>135</v>
      </c>
      <c r="AL47">
        <f t="shared" si="0"/>
        <v>13.117291596800003</v>
      </c>
      <c r="AM47">
        <f t="shared" si="1"/>
        <v>4.3080030647071089E-2</v>
      </c>
      <c r="AN47">
        <f t="shared" si="2"/>
        <v>5.1595040746674065E-2</v>
      </c>
    </row>
    <row r="48" spans="1:40" x14ac:dyDescent="0.2">
      <c r="A48" t="s">
        <v>43</v>
      </c>
      <c r="B48">
        <v>2019</v>
      </c>
      <c r="C48">
        <v>136.6253559301951</v>
      </c>
      <c r="D48">
        <v>59.617304841638067</v>
      </c>
      <c r="E48">
        <v>7.2648639041423051</v>
      </c>
      <c r="F48">
        <v>2.1772375003239941</v>
      </c>
      <c r="G48">
        <v>5.7936240513156614</v>
      </c>
      <c r="H48">
        <v>2.201922732753971</v>
      </c>
      <c r="I48">
        <v>5.6776034588947602E-2</v>
      </c>
      <c r="J48">
        <v>0.43818299999999999</v>
      </c>
      <c r="K48">
        <v>0.40500000000000003</v>
      </c>
      <c r="L48">
        <v>12.3</v>
      </c>
      <c r="M48">
        <v>0.16624672905184751</v>
      </c>
      <c r="N48">
        <v>397</v>
      </c>
      <c r="O48">
        <v>10</v>
      </c>
      <c r="P48">
        <v>29.568960399360812</v>
      </c>
      <c r="Q48">
        <v>54.415397707401091</v>
      </c>
      <c r="R48">
        <v>12.17032077406777</v>
      </c>
      <c r="S48">
        <v>3.729428099296539</v>
      </c>
      <c r="T48">
        <v>0.1158930198737806</v>
      </c>
      <c r="U48" t="s">
        <v>117</v>
      </c>
      <c r="V48">
        <v>3004.8144731872749</v>
      </c>
      <c r="W48">
        <v>28.382560916235828</v>
      </c>
      <c r="X48">
        <v>4.8499999999999996</v>
      </c>
      <c r="AA48">
        <v>0.08</v>
      </c>
      <c r="AD48">
        <v>761.77</v>
      </c>
      <c r="AF48">
        <v>74.819999999999993</v>
      </c>
      <c r="AH48">
        <v>4.43</v>
      </c>
      <c r="AI48">
        <v>14.7</v>
      </c>
      <c r="AK48" t="s">
        <v>135</v>
      </c>
      <c r="AL48">
        <f t="shared" si="0"/>
        <v>13.188365296745358</v>
      </c>
      <c r="AM48">
        <f t="shared" si="1"/>
        <v>4.2820749092091714E-2</v>
      </c>
      <c r="AN48">
        <f t="shared" si="2"/>
        <v>5.317361374600249E-2</v>
      </c>
    </row>
    <row r="49" spans="1:40" x14ac:dyDescent="0.2">
      <c r="A49" t="s">
        <v>43</v>
      </c>
      <c r="B49">
        <v>2017</v>
      </c>
      <c r="C49">
        <v>149.9789032233318</v>
      </c>
      <c r="D49">
        <v>68.633371461618125</v>
      </c>
      <c r="E49">
        <v>7.1674946372878887</v>
      </c>
      <c r="F49">
        <v>2.3653961718939791</v>
      </c>
      <c r="G49">
        <v>5.4389358962884424</v>
      </c>
      <c r="H49">
        <v>2.2301604240206232</v>
      </c>
      <c r="I49">
        <v>5.4094299149342502E-2</v>
      </c>
      <c r="J49">
        <v>0.36107030000000001</v>
      </c>
      <c r="K49">
        <v>0.41499999999999998</v>
      </c>
      <c r="L49">
        <v>12.5</v>
      </c>
      <c r="M49">
        <v>0.1843699295210251</v>
      </c>
      <c r="N49">
        <v>569</v>
      </c>
      <c r="O49">
        <v>10</v>
      </c>
      <c r="P49">
        <v>28.938935944000001</v>
      </c>
      <c r="Q49">
        <v>54.202810532999997</v>
      </c>
      <c r="R49">
        <v>13.220521164000001</v>
      </c>
      <c r="S49">
        <v>3.4569877629999999</v>
      </c>
      <c r="T49">
        <v>0.1807445959999967</v>
      </c>
      <c r="U49" t="s">
        <v>117</v>
      </c>
      <c r="V49">
        <v>3230.7907190556161</v>
      </c>
      <c r="W49">
        <v>31.517254125817789</v>
      </c>
      <c r="X49">
        <v>0.49</v>
      </c>
      <c r="AA49">
        <v>-3.67</v>
      </c>
      <c r="AD49">
        <v>764.09</v>
      </c>
      <c r="AF49">
        <v>76.45</v>
      </c>
      <c r="AH49">
        <v>4.17</v>
      </c>
      <c r="AI49">
        <v>14.63</v>
      </c>
      <c r="AK49" t="s">
        <v>135</v>
      </c>
      <c r="AL49">
        <f t="shared" si="0"/>
        <v>13.159821771439999</v>
      </c>
      <c r="AM49">
        <f t="shared" si="1"/>
        <v>3.6625352482129968E-2</v>
      </c>
      <c r="AN49">
        <f t="shared" si="2"/>
        <v>4.7790019017640489E-2</v>
      </c>
    </row>
    <row r="50" spans="1:40" x14ac:dyDescent="0.2">
      <c r="A50" t="s">
        <v>43</v>
      </c>
      <c r="B50">
        <v>2016</v>
      </c>
      <c r="C50">
        <v>160.50595126974179</v>
      </c>
      <c r="D50">
        <v>72.418414448900833</v>
      </c>
      <c r="E50">
        <v>7.0964249149608074</v>
      </c>
      <c r="F50">
        <v>2.8690288337397791</v>
      </c>
      <c r="G50">
        <v>5.3524090999306324</v>
      </c>
      <c r="H50">
        <v>2.0142154483447081</v>
      </c>
      <c r="I50">
        <v>0.23826694937736179</v>
      </c>
      <c r="J50">
        <v>0.34533150000000001</v>
      </c>
      <c r="K50">
        <v>0.41199999999999998</v>
      </c>
      <c r="L50">
        <v>12.6</v>
      </c>
      <c r="M50">
        <v>0.19349093512204191</v>
      </c>
      <c r="N50">
        <v>499</v>
      </c>
      <c r="O50">
        <v>10</v>
      </c>
      <c r="P50">
        <v>27.385440205999998</v>
      </c>
      <c r="Q50">
        <v>53.999218773000003</v>
      </c>
      <c r="R50">
        <v>15.060689173</v>
      </c>
      <c r="S50">
        <v>3.3226613870000001</v>
      </c>
      <c r="T50">
        <v>0.23199046100000939</v>
      </c>
      <c r="U50" t="s">
        <v>117</v>
      </c>
      <c r="X50">
        <v>3.96</v>
      </c>
      <c r="AA50">
        <v>-1.1599999999999999</v>
      </c>
      <c r="AD50">
        <v>763.13</v>
      </c>
      <c r="AF50">
        <v>73.16</v>
      </c>
      <c r="AH50">
        <v>3.34</v>
      </c>
      <c r="AI50">
        <v>11.74</v>
      </c>
      <c r="AK50" t="s">
        <v>135</v>
      </c>
      <c r="AL50">
        <f t="shared" si="0"/>
        <v>13.092709423690001</v>
      </c>
      <c r="AM50">
        <f t="shared" si="1"/>
        <v>3.483158104158058E-2</v>
      </c>
      <c r="AN50">
        <f t="shared" si="2"/>
        <v>4.4212846058491351E-2</v>
      </c>
    </row>
    <row r="51" spans="1:40" x14ac:dyDescent="0.2">
      <c r="A51" t="s">
        <v>44</v>
      </c>
      <c r="B51">
        <v>2016</v>
      </c>
      <c r="C51">
        <v>88.476050826475344</v>
      </c>
      <c r="D51">
        <v>43.131671587737081</v>
      </c>
      <c r="E51">
        <v>3.1868151008588268</v>
      </c>
      <c r="F51">
        <v>1.84499821628669</v>
      </c>
      <c r="G51">
        <v>5.7285259302887424</v>
      </c>
      <c r="H51">
        <v>1.780487789143798</v>
      </c>
      <c r="I51">
        <v>0.26449275128585409</v>
      </c>
      <c r="J51">
        <v>0.50067260000000002</v>
      </c>
      <c r="K51">
        <v>0.39700000000000002</v>
      </c>
      <c r="L51">
        <v>8.1</v>
      </c>
      <c r="M51">
        <v>0.18217012568143739</v>
      </c>
      <c r="N51">
        <v>201</v>
      </c>
      <c r="O51">
        <v>5</v>
      </c>
      <c r="P51">
        <v>31.646207499999999</v>
      </c>
      <c r="Q51">
        <v>49.416752119000002</v>
      </c>
      <c r="R51">
        <v>17.250965333</v>
      </c>
      <c r="S51">
        <v>1.5181526700000001</v>
      </c>
      <c r="T51">
        <v>0.16792237800000009</v>
      </c>
      <c r="U51" t="s">
        <v>44</v>
      </c>
      <c r="AK51" t="s">
        <v>136</v>
      </c>
      <c r="AL51">
        <f t="shared" si="0"/>
        <v>13.212065722519998</v>
      </c>
      <c r="AM51">
        <f t="shared" si="1"/>
        <v>6.7736055413780527E-2</v>
      </c>
      <c r="AN51">
        <f t="shared" si="2"/>
        <v>3.6018957345971554E-2</v>
      </c>
    </row>
    <row r="52" spans="1:40" x14ac:dyDescent="0.2">
      <c r="A52" t="s">
        <v>44</v>
      </c>
      <c r="B52">
        <v>2018</v>
      </c>
      <c r="C52">
        <v>84.929374995160913</v>
      </c>
      <c r="D52">
        <v>41.538806975525787</v>
      </c>
      <c r="E52">
        <v>3.5228624741592229</v>
      </c>
      <c r="F52">
        <v>1.6001280102408191</v>
      </c>
      <c r="G52">
        <v>5.1165383553264911</v>
      </c>
      <c r="H52">
        <v>1.5097982032110959</v>
      </c>
      <c r="I52">
        <v>3.2260645367758398E-2</v>
      </c>
      <c r="J52">
        <v>0.58740389999999998</v>
      </c>
      <c r="K52">
        <v>0.39300000000000002</v>
      </c>
      <c r="L52">
        <v>7.5</v>
      </c>
      <c r="M52">
        <v>0.1650022924318838</v>
      </c>
      <c r="N52">
        <v>185</v>
      </c>
      <c r="O52">
        <v>5</v>
      </c>
      <c r="P52">
        <v>31.322107988999999</v>
      </c>
      <c r="Q52">
        <v>51.446278010999997</v>
      </c>
      <c r="R52">
        <v>14.881917788000001</v>
      </c>
      <c r="S52">
        <v>2.2473792239999999</v>
      </c>
      <c r="T52">
        <v>0.1023169880000125</v>
      </c>
      <c r="U52" t="s">
        <v>44</v>
      </c>
      <c r="V52">
        <v>2743.0547409592891</v>
      </c>
      <c r="W52">
        <v>30.2681268227307</v>
      </c>
      <c r="AK52" t="s">
        <v>136</v>
      </c>
      <c r="AL52">
        <f t="shared" si="0"/>
        <v>13.229700106139999</v>
      </c>
      <c r="AM52">
        <f t="shared" si="1"/>
        <v>6.0624477702651371E-2</v>
      </c>
      <c r="AN52">
        <f t="shared" si="2"/>
        <v>4.1479905796550934E-2</v>
      </c>
    </row>
    <row r="53" spans="1:40" x14ac:dyDescent="0.2">
      <c r="A53" t="s">
        <v>44</v>
      </c>
      <c r="B53">
        <v>2017</v>
      </c>
      <c r="C53">
        <v>82.06766203114887</v>
      </c>
      <c r="D53">
        <v>39.913321505732952</v>
      </c>
      <c r="E53">
        <v>3.013784198883998</v>
      </c>
      <c r="F53">
        <v>1.9705512069626141</v>
      </c>
      <c r="G53">
        <v>5.0422927942866904</v>
      </c>
      <c r="H53">
        <v>1.2042257375882639</v>
      </c>
      <c r="I53">
        <v>4.5077968786726402E-2</v>
      </c>
      <c r="J53">
        <v>0.53872980000000004</v>
      </c>
      <c r="K53">
        <v>0.39400000000000002</v>
      </c>
      <c r="L53">
        <v>7.8</v>
      </c>
      <c r="M53">
        <v>0.1736083208562062</v>
      </c>
      <c r="N53">
        <v>178</v>
      </c>
      <c r="O53">
        <v>5</v>
      </c>
      <c r="P53">
        <v>31.926183752</v>
      </c>
      <c r="Q53">
        <v>48.887081897000002</v>
      </c>
      <c r="R53">
        <v>16.666421175</v>
      </c>
      <c r="S53">
        <v>2.4304771000000001</v>
      </c>
      <c r="T53">
        <v>8.9836075999997433E-2</v>
      </c>
      <c r="U53" t="s">
        <v>44</v>
      </c>
      <c r="V53">
        <v>2979.5650368299821</v>
      </c>
      <c r="W53">
        <v>29.993960033377888</v>
      </c>
      <c r="AK53" t="s">
        <v>136</v>
      </c>
      <c r="AL53">
        <f t="shared" si="0"/>
        <v>13.1998909207</v>
      </c>
      <c r="AM53">
        <f t="shared" si="1"/>
        <v>6.1989956057752683E-2</v>
      </c>
      <c r="AN53">
        <f t="shared" si="2"/>
        <v>3.6723163841807911E-2</v>
      </c>
    </row>
    <row r="54" spans="1:40" x14ac:dyDescent="0.2">
      <c r="A54" t="s">
        <v>44</v>
      </c>
      <c r="B54">
        <v>2019</v>
      </c>
      <c r="C54">
        <v>91.798079122770957</v>
      </c>
      <c r="D54">
        <v>41.721112201098862</v>
      </c>
      <c r="E54">
        <v>3.076091915694402</v>
      </c>
      <c r="F54">
        <v>1.434647910260834</v>
      </c>
      <c r="G54">
        <v>4.6787616532830816</v>
      </c>
      <c r="H54">
        <v>1.033980475863665</v>
      </c>
      <c r="I54">
        <v>9.0473291638070594E-2</v>
      </c>
      <c r="J54">
        <v>0.61557890000000004</v>
      </c>
      <c r="K54">
        <v>0.38700000000000001</v>
      </c>
      <c r="L54">
        <v>7.8</v>
      </c>
      <c r="M54">
        <v>0.1569028740401435</v>
      </c>
      <c r="N54">
        <v>155</v>
      </c>
      <c r="O54">
        <v>5</v>
      </c>
      <c r="P54">
        <v>32.903767103798408</v>
      </c>
      <c r="Q54">
        <v>47.448406448126448</v>
      </c>
      <c r="R54">
        <v>17.411721065145901</v>
      </c>
      <c r="S54">
        <v>1.9611734343406559</v>
      </c>
      <c r="T54">
        <v>0.27493194858858772</v>
      </c>
      <c r="U54" t="s">
        <v>44</v>
      </c>
      <c r="V54">
        <v>2927.788909969101</v>
      </c>
      <c r="W54">
        <v>31.654385334291881</v>
      </c>
      <c r="AK54" t="s">
        <v>136</v>
      </c>
      <c r="AL54">
        <f t="shared" si="0"/>
        <v>13.206650108026452</v>
      </c>
      <c r="AM54">
        <f t="shared" si="1"/>
        <v>5.195353748680042E-2</v>
      </c>
      <c r="AN54">
        <f t="shared" si="2"/>
        <v>3.3509327701513554E-2</v>
      </c>
    </row>
    <row r="55" spans="1:40" x14ac:dyDescent="0.2">
      <c r="A55" t="s">
        <v>44</v>
      </c>
      <c r="B55">
        <v>2021</v>
      </c>
      <c r="C55">
        <v>91.269540031883039</v>
      </c>
      <c r="D55">
        <v>39.422316430917839</v>
      </c>
      <c r="E55">
        <v>4.0486381588039393</v>
      </c>
      <c r="F55">
        <v>2.2384297512617932</v>
      </c>
      <c r="G55">
        <v>4.3730482676824591</v>
      </c>
      <c r="H55">
        <v>1.648003353102885</v>
      </c>
      <c r="I55">
        <v>0.16220505443926031</v>
      </c>
      <c r="J55">
        <v>0.8825518</v>
      </c>
      <c r="K55">
        <v>0.376</v>
      </c>
      <c r="L55">
        <v>7</v>
      </c>
      <c r="M55">
        <v>0.14574020918476949</v>
      </c>
      <c r="N55">
        <v>174</v>
      </c>
      <c r="O55">
        <v>5</v>
      </c>
      <c r="P55">
        <v>33.485109476628708</v>
      </c>
      <c r="Q55">
        <v>49.126217647873702</v>
      </c>
      <c r="R55">
        <v>15.414529984128301</v>
      </c>
      <c r="S55">
        <v>1.754987569222398</v>
      </c>
      <c r="T55">
        <v>0.21915532214690359</v>
      </c>
      <c r="U55" t="s">
        <v>44</v>
      </c>
      <c r="V55">
        <v>1112.5754082153089</v>
      </c>
      <c r="W55">
        <v>31.91398181681971</v>
      </c>
      <c r="AK55" t="s">
        <v>136</v>
      </c>
      <c r="AL55">
        <f t="shared" si="0"/>
        <v>13.27148810808789</v>
      </c>
      <c r="AM55">
        <f t="shared" si="1"/>
        <v>4.9690765621667722E-2</v>
      </c>
      <c r="AN55">
        <f t="shared" si="2"/>
        <v>4.4359138409042438E-2</v>
      </c>
    </row>
    <row r="56" spans="1:40" x14ac:dyDescent="0.2">
      <c r="A56" t="s">
        <v>44</v>
      </c>
      <c r="B56">
        <v>2020</v>
      </c>
      <c r="C56">
        <v>92.573286916511037</v>
      </c>
      <c r="D56">
        <v>41.51306102503888</v>
      </c>
      <c r="E56">
        <v>4.0538333577553134</v>
      </c>
      <c r="F56">
        <v>1.6589732053234321</v>
      </c>
      <c r="G56">
        <v>3.9570061278726221</v>
      </c>
      <c r="H56">
        <v>1.439498150922667</v>
      </c>
      <c r="I56">
        <v>0.1226478245180747</v>
      </c>
      <c r="J56">
        <v>0.64377439999999997</v>
      </c>
      <c r="K56">
        <v>0.377</v>
      </c>
      <c r="L56">
        <v>7.2</v>
      </c>
      <c r="M56">
        <v>0.15064937406508999</v>
      </c>
      <c r="N56">
        <v>176</v>
      </c>
      <c r="O56">
        <v>5</v>
      </c>
      <c r="P56">
        <v>33.207162285000003</v>
      </c>
      <c r="Q56">
        <v>49.060286988000001</v>
      </c>
      <c r="R56">
        <v>15.670520145999999</v>
      </c>
      <c r="S56">
        <v>1.9387645389999999</v>
      </c>
      <c r="T56">
        <v>0.1232660419999831</v>
      </c>
      <c r="U56" t="s">
        <v>44</v>
      </c>
      <c r="V56">
        <v>2965.185253134403</v>
      </c>
      <c r="W56">
        <v>33.651359005050651</v>
      </c>
      <c r="AK56" t="s">
        <v>136</v>
      </c>
      <c r="AL56">
        <f t="shared" si="0"/>
        <v>13.26208831744</v>
      </c>
      <c r="AM56">
        <f t="shared" si="1"/>
        <v>4.4069451223764038E-2</v>
      </c>
      <c r="AN56">
        <f t="shared" si="2"/>
        <v>4.379053064639845E-2</v>
      </c>
    </row>
    <row r="57" spans="1:40" x14ac:dyDescent="0.2">
      <c r="A57" t="s">
        <v>44</v>
      </c>
      <c r="B57">
        <v>2022</v>
      </c>
      <c r="C57">
        <v>94.945153358421194</v>
      </c>
      <c r="D57">
        <v>39.337024053900322</v>
      </c>
      <c r="E57">
        <v>7.0291174682680904</v>
      </c>
      <c r="F57">
        <v>2.1412774509816681</v>
      </c>
      <c r="G57">
        <v>3.5666262709360308</v>
      </c>
      <c r="H57">
        <v>1.640127409262554</v>
      </c>
      <c r="I57">
        <v>0.22128703140843989</v>
      </c>
      <c r="J57">
        <v>0.85954509999999995</v>
      </c>
      <c r="K57">
        <v>0.37</v>
      </c>
      <c r="L57">
        <v>6</v>
      </c>
      <c r="M57">
        <v>0.14202787435582689</v>
      </c>
      <c r="N57">
        <v>167</v>
      </c>
      <c r="O57">
        <v>6</v>
      </c>
      <c r="P57">
        <v>32.468386325252297</v>
      </c>
      <c r="Q57">
        <v>50.817088864313547</v>
      </c>
      <c r="R57">
        <v>15.01287595558448</v>
      </c>
      <c r="S57">
        <v>1.645530493634997</v>
      </c>
      <c r="T57">
        <v>5.6118361214686267E-2</v>
      </c>
      <c r="U57" t="s">
        <v>44</v>
      </c>
      <c r="V57">
        <v>1115.371574254917</v>
      </c>
      <c r="W57">
        <v>36.411713597488479</v>
      </c>
      <c r="AK57" t="s">
        <v>136</v>
      </c>
      <c r="AL57">
        <f t="shared" si="0"/>
        <v>13.278238335138635</v>
      </c>
      <c r="AM57">
        <f t="shared" si="1"/>
        <v>3.98958047710447E-2</v>
      </c>
      <c r="AN57">
        <f t="shared" si="2"/>
        <v>7.4033452152454077E-2</v>
      </c>
    </row>
    <row r="58" spans="1:40" x14ac:dyDescent="0.2">
      <c r="A58" t="s">
        <v>45</v>
      </c>
      <c r="B58">
        <v>2021</v>
      </c>
      <c r="C58">
        <v>120.0829977965336</v>
      </c>
      <c r="D58">
        <v>59.669463135483589</v>
      </c>
      <c r="E58">
        <v>6.823474103774303</v>
      </c>
      <c r="F58">
        <v>3.052384326471528</v>
      </c>
      <c r="G58">
        <v>8.2439742889466476</v>
      </c>
      <c r="H58">
        <v>5.6820007406893822</v>
      </c>
      <c r="I58">
        <v>0.38049112102830679</v>
      </c>
      <c r="J58">
        <v>0.41188839999999999</v>
      </c>
      <c r="K58">
        <v>0.376</v>
      </c>
      <c r="L58">
        <v>13</v>
      </c>
      <c r="M58">
        <v>0.1434962745588628</v>
      </c>
      <c r="N58">
        <v>202</v>
      </c>
      <c r="O58">
        <v>5</v>
      </c>
      <c r="P58">
        <v>28.704517103138429</v>
      </c>
      <c r="Q58">
        <v>48.878404254681307</v>
      </c>
      <c r="R58">
        <v>20.27058105063491</v>
      </c>
      <c r="S58">
        <v>2.0646463924716421</v>
      </c>
      <c r="T58">
        <v>8.1851199073696534E-2</v>
      </c>
      <c r="U58" t="s">
        <v>45</v>
      </c>
      <c r="V58">
        <v>1037.9875589368071</v>
      </c>
      <c r="W58">
        <v>39.616349683113121</v>
      </c>
      <c r="AK58" t="s">
        <v>136</v>
      </c>
      <c r="AL58">
        <f t="shared" si="0"/>
        <v>13.078726257434569</v>
      </c>
      <c r="AM58">
        <f t="shared" si="1"/>
        <v>7.1820870299957762E-2</v>
      </c>
      <c r="AN58">
        <f t="shared" si="2"/>
        <v>5.6822982678496003E-2</v>
      </c>
    </row>
    <row r="59" spans="1:40" x14ac:dyDescent="0.2">
      <c r="A59" t="s">
        <v>45</v>
      </c>
      <c r="B59">
        <v>2022</v>
      </c>
      <c r="C59">
        <v>116.33687807768101</v>
      </c>
      <c r="D59">
        <v>60.533987043150859</v>
      </c>
      <c r="E59">
        <v>7.5302562605451486</v>
      </c>
      <c r="F59">
        <v>3.425966075208112</v>
      </c>
      <c r="G59">
        <v>6.9893142486701834</v>
      </c>
      <c r="H59">
        <v>5.3235563073409269</v>
      </c>
      <c r="I59">
        <v>0.4808373438888579</v>
      </c>
      <c r="J59">
        <v>0.47415960000000001</v>
      </c>
      <c r="K59">
        <v>0.36799999999999999</v>
      </c>
      <c r="L59">
        <v>11.4</v>
      </c>
      <c r="M59">
        <v>0.13984553100327571</v>
      </c>
      <c r="N59">
        <v>199</v>
      </c>
      <c r="O59">
        <v>5</v>
      </c>
      <c r="P59">
        <v>28.96358656805554</v>
      </c>
      <c r="Q59">
        <v>51.710030672209193</v>
      </c>
      <c r="R59">
        <v>17.58186931988639</v>
      </c>
      <c r="S59">
        <v>1.670682419183658</v>
      </c>
      <c r="T59">
        <v>7.383102066521019E-2</v>
      </c>
      <c r="U59" t="s">
        <v>45</v>
      </c>
      <c r="V59">
        <v>997.04378216714542</v>
      </c>
      <c r="W59">
        <v>40.839862000693081</v>
      </c>
      <c r="AK59" t="s">
        <v>136</v>
      </c>
      <c r="AL59">
        <f t="shared" si="0"/>
        <v>13.154162256336168</v>
      </c>
      <c r="AM59">
        <f t="shared" si="1"/>
        <v>6.4211380913720556E-2</v>
      </c>
      <c r="AN59">
        <f t="shared" si="2"/>
        <v>6.4728024208428644E-2</v>
      </c>
    </row>
    <row r="60" spans="1:40" x14ac:dyDescent="0.2">
      <c r="A60" t="s">
        <v>45</v>
      </c>
      <c r="B60">
        <v>2019</v>
      </c>
      <c r="C60">
        <v>119.723009830968</v>
      </c>
      <c r="D60">
        <v>58.724182148281891</v>
      </c>
      <c r="E60">
        <v>4.9492287451872086</v>
      </c>
      <c r="F60">
        <v>2.4829464075181611</v>
      </c>
      <c r="G60">
        <v>6.5156513110040351</v>
      </c>
      <c r="H60">
        <v>3.6827594366544552</v>
      </c>
      <c r="I60">
        <v>0.54158227009624338</v>
      </c>
      <c r="J60">
        <v>0.33449590000000001</v>
      </c>
      <c r="K60">
        <v>0.377</v>
      </c>
      <c r="L60">
        <v>13.8</v>
      </c>
      <c r="M60">
        <v>0.1533441924570855</v>
      </c>
      <c r="N60">
        <v>155</v>
      </c>
      <c r="O60">
        <v>5</v>
      </c>
      <c r="P60">
        <v>29.445417378498082</v>
      </c>
      <c r="Q60">
        <v>47.526323582178087</v>
      </c>
      <c r="R60">
        <v>21.112110244612239</v>
      </c>
      <c r="S60">
        <v>1.891126165650981</v>
      </c>
      <c r="T60">
        <v>2.5022629060600821E-2</v>
      </c>
      <c r="U60" t="s">
        <v>45</v>
      </c>
      <c r="V60">
        <v>2900.941627539697</v>
      </c>
      <c r="W60">
        <v>38.477596898064128</v>
      </c>
      <c r="AK60" t="s">
        <v>136</v>
      </c>
      <c r="AL60">
        <f t="shared" si="0"/>
        <v>13.088769059436222</v>
      </c>
      <c r="AM60">
        <f t="shared" si="1"/>
        <v>5.894634282135152E-2</v>
      </c>
      <c r="AN60">
        <f t="shared" si="2"/>
        <v>4.1338993666921849E-2</v>
      </c>
    </row>
    <row r="61" spans="1:40" x14ac:dyDescent="0.2">
      <c r="A61" t="s">
        <v>45</v>
      </c>
      <c r="B61">
        <v>2020</v>
      </c>
      <c r="C61">
        <v>127.2797865979701</v>
      </c>
      <c r="D61">
        <v>57.853686107484251</v>
      </c>
      <c r="E61">
        <v>5.7442781538812451</v>
      </c>
      <c r="F61">
        <v>2.8092455205112659</v>
      </c>
      <c r="G61">
        <v>6.0713246473139</v>
      </c>
      <c r="H61">
        <v>3.2788507418504631</v>
      </c>
      <c r="I61">
        <v>0.77988009972402317</v>
      </c>
      <c r="J61">
        <v>0.34977439999999999</v>
      </c>
      <c r="K61">
        <v>0.36499999999999999</v>
      </c>
      <c r="L61">
        <v>13.6</v>
      </c>
      <c r="M61">
        <v>0.1478788439384128</v>
      </c>
      <c r="N61">
        <v>204</v>
      </c>
      <c r="O61">
        <v>5</v>
      </c>
      <c r="P61">
        <v>29.474684572000001</v>
      </c>
      <c r="Q61">
        <v>50.161468063000001</v>
      </c>
      <c r="R61">
        <v>18.529871145000001</v>
      </c>
      <c r="S61">
        <v>1.7764699900000001</v>
      </c>
      <c r="T61">
        <v>5.7506230000001317E-2</v>
      </c>
      <c r="U61" t="s">
        <v>45</v>
      </c>
      <c r="V61">
        <v>2860.4045757574008</v>
      </c>
      <c r="W61">
        <v>38.475105787040427</v>
      </c>
      <c r="AK61" t="s">
        <v>136</v>
      </c>
      <c r="AL61">
        <f t="shared" si="0"/>
        <v>13.142661908239999</v>
      </c>
      <c r="AM61">
        <f t="shared" si="1"/>
        <v>5.3827908815390707E-2</v>
      </c>
      <c r="AN61">
        <f t="shared" si="2"/>
        <v>4.5131110818289639E-2</v>
      </c>
    </row>
    <row r="62" spans="1:40" x14ac:dyDescent="0.2">
      <c r="A62" t="s">
        <v>45</v>
      </c>
      <c r="B62">
        <v>2017</v>
      </c>
      <c r="C62">
        <v>118.36661122627061</v>
      </c>
      <c r="D62">
        <v>62.268031101242897</v>
      </c>
      <c r="E62">
        <v>4.9486698401514104</v>
      </c>
      <c r="F62">
        <v>2.6627776457768348</v>
      </c>
      <c r="G62">
        <v>5.0060219740604488</v>
      </c>
      <c r="H62">
        <v>2.6627776457768348</v>
      </c>
      <c r="I62">
        <v>0.344112803454237</v>
      </c>
      <c r="J62">
        <v>0.28125040000000001</v>
      </c>
      <c r="K62">
        <v>0.374</v>
      </c>
      <c r="L62">
        <v>14.2</v>
      </c>
      <c r="M62">
        <v>0.169192887445308</v>
      </c>
      <c r="N62">
        <v>186</v>
      </c>
      <c r="O62">
        <v>5</v>
      </c>
      <c r="P62">
        <v>27.585558136</v>
      </c>
      <c r="Q62">
        <v>48.276967263000003</v>
      </c>
      <c r="R62">
        <v>21.685359233</v>
      </c>
      <c r="S62">
        <v>2.3381642290000002</v>
      </c>
      <c r="T62">
        <v>0.1139511389999939</v>
      </c>
      <c r="U62" t="s">
        <v>45</v>
      </c>
      <c r="V62">
        <v>2865.2285549974431</v>
      </c>
      <c r="W62">
        <v>41.879800446123113</v>
      </c>
      <c r="AK62" t="s">
        <v>136</v>
      </c>
      <c r="AL62">
        <f t="shared" si="0"/>
        <v>13.014221806390001</v>
      </c>
      <c r="AM62">
        <f t="shared" si="1"/>
        <v>4.5199695438499318E-2</v>
      </c>
      <c r="AN62">
        <f t="shared" si="2"/>
        <v>4.1807987817539964E-2</v>
      </c>
    </row>
    <row r="63" spans="1:40" x14ac:dyDescent="0.2">
      <c r="A63" t="s">
        <v>45</v>
      </c>
      <c r="B63">
        <v>2018</v>
      </c>
      <c r="C63">
        <v>117.9786322174896</v>
      </c>
      <c r="D63">
        <v>60.000891838194129</v>
      </c>
      <c r="E63">
        <v>4.3105512716126251</v>
      </c>
      <c r="F63">
        <v>2.708545626607167</v>
      </c>
      <c r="G63">
        <v>4.640861713881792</v>
      </c>
      <c r="H63">
        <v>2.9149896530253958</v>
      </c>
      <c r="I63">
        <v>0.39637253072299999</v>
      </c>
      <c r="J63">
        <v>0.30528480000000002</v>
      </c>
      <c r="K63">
        <v>0.378</v>
      </c>
      <c r="L63">
        <v>13.6</v>
      </c>
      <c r="M63">
        <v>0.1607320365736874</v>
      </c>
      <c r="N63">
        <v>215</v>
      </c>
      <c r="O63">
        <v>5</v>
      </c>
      <c r="P63">
        <v>30.053356006000001</v>
      </c>
      <c r="Q63">
        <v>47.513827921000001</v>
      </c>
      <c r="R63">
        <v>20.106118191</v>
      </c>
      <c r="S63">
        <v>2.3096927350000001</v>
      </c>
      <c r="T63">
        <v>1.700514699999189E-2</v>
      </c>
      <c r="U63" t="s">
        <v>45</v>
      </c>
      <c r="V63">
        <v>2836.017374515985</v>
      </c>
      <c r="W63">
        <v>36.749599383969247</v>
      </c>
      <c r="AK63" t="s">
        <v>136</v>
      </c>
      <c r="AL63">
        <f t="shared" si="0"/>
        <v>13.105026583669998</v>
      </c>
      <c r="AM63">
        <f t="shared" si="1"/>
        <v>4.2696157345838877E-2</v>
      </c>
      <c r="AN63">
        <f t="shared" si="2"/>
        <v>3.6536711695947369E-2</v>
      </c>
    </row>
    <row r="64" spans="1:40" x14ac:dyDescent="0.2">
      <c r="A64" t="s">
        <v>45</v>
      </c>
      <c r="B64">
        <v>2016</v>
      </c>
      <c r="C64">
        <v>129.07294444748109</v>
      </c>
      <c r="D64">
        <v>67.583608608996514</v>
      </c>
      <c r="E64">
        <v>5.1071147983138374</v>
      </c>
      <c r="F64">
        <v>3.679406987283611</v>
      </c>
      <c r="G64">
        <v>4.4218150490193278</v>
      </c>
      <c r="H64">
        <v>2.406707452879524</v>
      </c>
      <c r="I64">
        <v>0.2365915801135802</v>
      </c>
      <c r="J64">
        <v>0.25930110000000001</v>
      </c>
      <c r="K64">
        <v>0.376</v>
      </c>
      <c r="L64">
        <v>14.4</v>
      </c>
      <c r="M64">
        <v>0.17612268791042041</v>
      </c>
      <c r="N64">
        <v>203</v>
      </c>
      <c r="O64">
        <v>5</v>
      </c>
      <c r="P64">
        <v>28.476321963</v>
      </c>
      <c r="Q64">
        <v>46.764684770999999</v>
      </c>
      <c r="R64">
        <v>21.966033049</v>
      </c>
      <c r="S64">
        <v>2.7514701929999998</v>
      </c>
      <c r="T64">
        <v>4.1490023999998023E-2</v>
      </c>
      <c r="U64" t="s">
        <v>45</v>
      </c>
      <c r="AK64" t="s">
        <v>136</v>
      </c>
      <c r="AL64">
        <f t="shared" si="0"/>
        <v>13.016412868400003</v>
      </c>
      <c r="AM64">
        <f t="shared" si="1"/>
        <v>3.6091271095379573E-2</v>
      </c>
      <c r="AN64">
        <f t="shared" si="2"/>
        <v>3.9567663232412648E-2</v>
      </c>
    </row>
    <row r="65" spans="1:40" x14ac:dyDescent="0.2">
      <c r="A65" t="s">
        <v>46</v>
      </c>
      <c r="B65">
        <v>2021</v>
      </c>
      <c r="C65">
        <v>210.77071859927281</v>
      </c>
      <c r="D65">
        <v>103.5790430786123</v>
      </c>
      <c r="E65">
        <v>5.2058439403672097</v>
      </c>
      <c r="F65">
        <v>2.8819876784878899</v>
      </c>
      <c r="G65">
        <v>8.9909897293671506</v>
      </c>
      <c r="H65">
        <v>5.7335318251607674</v>
      </c>
      <c r="I65">
        <v>0.111626283321714</v>
      </c>
      <c r="J65">
        <v>0.36362149999999999</v>
      </c>
      <c r="K65">
        <v>0.36</v>
      </c>
      <c r="L65">
        <v>19.5</v>
      </c>
      <c r="M65">
        <v>0.1643979591316625</v>
      </c>
      <c r="N65">
        <v>189</v>
      </c>
      <c r="O65">
        <v>1</v>
      </c>
      <c r="P65">
        <v>33.456948441951191</v>
      </c>
      <c r="Q65">
        <v>41.944625457499278</v>
      </c>
      <c r="R65">
        <v>17.705954748880941</v>
      </c>
      <c r="S65">
        <v>5.9660573486812591</v>
      </c>
      <c r="T65">
        <v>0.9264140029873289</v>
      </c>
      <c r="U65" t="s">
        <v>118</v>
      </c>
      <c r="V65">
        <v>834.84789551382505</v>
      </c>
      <c r="W65">
        <v>33.909711232963161</v>
      </c>
      <c r="AK65" t="s">
        <v>133</v>
      </c>
      <c r="AL65">
        <f t="shared" si="0"/>
        <v>12.993000319645294</v>
      </c>
      <c r="AM65">
        <f t="shared" si="1"/>
        <v>4.3187289359653346E-2</v>
      </c>
      <c r="AN65">
        <f t="shared" si="2"/>
        <v>2.4699085219065959E-2</v>
      </c>
    </row>
    <row r="66" spans="1:40" x14ac:dyDescent="0.2">
      <c r="A66" t="s">
        <v>46</v>
      </c>
      <c r="B66">
        <v>2017</v>
      </c>
      <c r="C66">
        <v>239.90635421599089</v>
      </c>
      <c r="D66">
        <v>119.31302038137081</v>
      </c>
      <c r="E66">
        <v>5.3956066958361362</v>
      </c>
      <c r="F66">
        <v>4.7148050976797871</v>
      </c>
      <c r="G66">
        <v>8.5151005858958229</v>
      </c>
      <c r="H66">
        <v>5.2127047739433854</v>
      </c>
      <c r="I66">
        <v>8.1289743063444594E-2</v>
      </c>
      <c r="J66">
        <v>0.2288442</v>
      </c>
      <c r="K66">
        <v>0.39200000000000002</v>
      </c>
      <c r="L66">
        <v>19</v>
      </c>
      <c r="M66">
        <v>0.19033302803980159</v>
      </c>
      <c r="N66">
        <v>191</v>
      </c>
      <c r="O66">
        <v>5</v>
      </c>
      <c r="P66">
        <v>29.489165832000001</v>
      </c>
      <c r="Q66">
        <v>47.288276861999996</v>
      </c>
      <c r="R66">
        <v>16.012364883</v>
      </c>
      <c r="S66">
        <v>6.7536398980000003</v>
      </c>
      <c r="T66">
        <v>0.45655252499999222</v>
      </c>
      <c r="U66" t="s">
        <v>118</v>
      </c>
      <c r="V66">
        <v>2519.677112405338</v>
      </c>
      <c r="W66">
        <v>32.878605942656961</v>
      </c>
      <c r="AK66" t="s">
        <v>133</v>
      </c>
      <c r="AL66">
        <f t="shared" si="0"/>
        <v>12.958300695809999</v>
      </c>
      <c r="AM66">
        <f t="shared" si="1"/>
        <v>3.583227445997459E-2</v>
      </c>
      <c r="AN66">
        <f t="shared" si="2"/>
        <v>2.2490470139771287E-2</v>
      </c>
    </row>
    <row r="67" spans="1:40" x14ac:dyDescent="0.2">
      <c r="A67" t="s">
        <v>46</v>
      </c>
      <c r="B67">
        <v>2016</v>
      </c>
      <c r="C67">
        <v>239.02455908881751</v>
      </c>
      <c r="D67">
        <v>134.38068827345251</v>
      </c>
      <c r="E67">
        <v>5.3650471757658682</v>
      </c>
      <c r="F67">
        <v>4.9680133240488491</v>
      </c>
      <c r="G67">
        <v>7.9101359688236803</v>
      </c>
      <c r="H67">
        <v>4.8662097723265374</v>
      </c>
      <c r="I67">
        <v>0.27486958965024372</v>
      </c>
      <c r="J67">
        <v>0.22507179999999999</v>
      </c>
      <c r="K67">
        <v>0.39900000000000002</v>
      </c>
      <c r="L67">
        <v>19.3</v>
      </c>
      <c r="M67">
        <v>0.2004087100331885</v>
      </c>
      <c r="N67">
        <v>198</v>
      </c>
      <c r="O67">
        <v>5</v>
      </c>
      <c r="P67">
        <v>31.421079720000002</v>
      </c>
      <c r="Q67">
        <v>44.511011166000003</v>
      </c>
      <c r="R67">
        <v>17.400376354999999</v>
      </c>
      <c r="S67">
        <v>6.257959563</v>
      </c>
      <c r="T67">
        <v>0.40957319600001091</v>
      </c>
      <c r="U67" t="s">
        <v>118</v>
      </c>
      <c r="AK67" t="s">
        <v>133</v>
      </c>
      <c r="AL67">
        <f t="shared" ref="AL67:AL120" si="3">(15*P67+13*Q67+11*R67+9*S67+4*T67)/100</f>
        <v>12.99323409714</v>
      </c>
      <c r="AM67">
        <f t="shared" ref="AM67:AM120" si="4">(G67+I67)/C67</f>
        <v>3.4243366412538861E-2</v>
      </c>
      <c r="AN67">
        <f t="shared" ref="AN67:AN120" si="5">E67/C67</f>
        <v>2.2445589675880572E-2</v>
      </c>
    </row>
    <row r="68" spans="1:40" x14ac:dyDescent="0.2">
      <c r="A68" t="s">
        <v>46</v>
      </c>
      <c r="B68">
        <v>2018</v>
      </c>
      <c r="C68">
        <v>238.80891122597919</v>
      </c>
      <c r="D68">
        <v>118.1906550561649</v>
      </c>
      <c r="E68">
        <v>4.9364608419814502</v>
      </c>
      <c r="F68">
        <v>3.7785255827512341</v>
      </c>
      <c r="G68">
        <v>7.4148485898075291</v>
      </c>
      <c r="H68">
        <v>5.048191437170332</v>
      </c>
      <c r="I68">
        <v>7.1101287847469399E-2</v>
      </c>
      <c r="J68">
        <v>0.26374449999999999</v>
      </c>
      <c r="K68">
        <v>0.379</v>
      </c>
      <c r="L68">
        <v>19.100000000000001</v>
      </c>
      <c r="M68">
        <v>0.1813230991544777</v>
      </c>
      <c r="N68">
        <v>187</v>
      </c>
      <c r="O68">
        <v>1</v>
      </c>
      <c r="P68">
        <v>34.778079120000001</v>
      </c>
      <c r="Q68">
        <v>40.440942700000001</v>
      </c>
      <c r="R68">
        <v>18.395627788999999</v>
      </c>
      <c r="S68">
        <v>5.716388126</v>
      </c>
      <c r="T68">
        <v>0.66896226500000466</v>
      </c>
      <c r="U68" t="s">
        <v>118</v>
      </c>
      <c r="V68">
        <v>2514.6147410366329</v>
      </c>
      <c r="W68">
        <v>33.507223176783413</v>
      </c>
      <c r="AK68" t="s">
        <v>133</v>
      </c>
      <c r="AL68">
        <f t="shared" si="3"/>
        <v>13.038786897730001</v>
      </c>
      <c r="AM68">
        <f t="shared" si="4"/>
        <v>3.1347029050231803E-2</v>
      </c>
      <c r="AN68">
        <f t="shared" si="5"/>
        <v>2.0671175194589764E-2</v>
      </c>
    </row>
    <row r="69" spans="1:40" x14ac:dyDescent="0.2">
      <c r="A69" t="s">
        <v>46</v>
      </c>
      <c r="B69">
        <v>2019</v>
      </c>
      <c r="C69">
        <v>225.07482662495559</v>
      </c>
      <c r="D69">
        <v>107.5286314177243</v>
      </c>
      <c r="E69">
        <v>4.7596140644561586</v>
      </c>
      <c r="F69">
        <v>3.152735811926088</v>
      </c>
      <c r="G69">
        <v>5.4206715734084021</v>
      </c>
      <c r="H69">
        <v>3.1323955808814028</v>
      </c>
      <c r="I69">
        <v>3.05103465670266E-2</v>
      </c>
      <c r="J69">
        <v>0.29107369999999999</v>
      </c>
      <c r="K69">
        <v>0.372</v>
      </c>
      <c r="L69">
        <v>20.100000000000001</v>
      </c>
      <c r="M69">
        <v>0.1725624552724184</v>
      </c>
      <c r="N69">
        <v>135</v>
      </c>
      <c r="O69">
        <v>1</v>
      </c>
      <c r="P69">
        <v>33.291911540451778</v>
      </c>
      <c r="Q69">
        <v>43.387325943139999</v>
      </c>
      <c r="R69">
        <v>17.92782879079245</v>
      </c>
      <c r="S69">
        <v>4.6307820527057739</v>
      </c>
      <c r="T69">
        <v>0.76215167291000796</v>
      </c>
      <c r="U69" t="s">
        <v>118</v>
      </c>
      <c r="V69">
        <v>2370.960754259936</v>
      </c>
      <c r="W69">
        <v>28.926372811380141</v>
      </c>
      <c r="AK69" t="s">
        <v>133</v>
      </c>
      <c r="AL69">
        <f t="shared" si="3"/>
        <v>13.053456722323055</v>
      </c>
      <c r="AM69">
        <f t="shared" si="4"/>
        <v>2.4219420722064074E-2</v>
      </c>
      <c r="AN69">
        <f t="shared" si="5"/>
        <v>2.1146807645384309E-2</v>
      </c>
    </row>
    <row r="70" spans="1:40" x14ac:dyDescent="0.2">
      <c r="A70" t="s">
        <v>46</v>
      </c>
      <c r="B70">
        <v>2020</v>
      </c>
      <c r="C70">
        <v>209.333862102751</v>
      </c>
      <c r="D70">
        <v>99.184836353641259</v>
      </c>
      <c r="E70">
        <v>4.9698915853649881</v>
      </c>
      <c r="F70">
        <v>3.3064992996509921</v>
      </c>
      <c r="G70">
        <v>5.3654543850164869</v>
      </c>
      <c r="H70">
        <v>3.0326481306614932</v>
      </c>
      <c r="I70">
        <v>0.2028527177699995</v>
      </c>
      <c r="J70">
        <v>0.30849929999999998</v>
      </c>
      <c r="K70">
        <v>0.35699999999999998</v>
      </c>
      <c r="L70">
        <v>19.899999999999999</v>
      </c>
      <c r="M70">
        <v>0.1679618530940904</v>
      </c>
      <c r="N70">
        <v>188</v>
      </c>
      <c r="O70">
        <v>1</v>
      </c>
      <c r="P70">
        <v>35.133681357</v>
      </c>
      <c r="Q70">
        <v>41.703327606000002</v>
      </c>
      <c r="R70">
        <v>18.953221684999999</v>
      </c>
      <c r="S70">
        <v>4.1203184129999997</v>
      </c>
      <c r="T70">
        <v>8.9450938999988239E-2</v>
      </c>
      <c r="U70" t="s">
        <v>118</v>
      </c>
      <c r="V70">
        <v>2670.7223199929681</v>
      </c>
      <c r="W70">
        <v>36.478402585111333</v>
      </c>
      <c r="AK70" t="s">
        <v>133</v>
      </c>
      <c r="AL70">
        <f t="shared" si="3"/>
        <v>13.150745872409997</v>
      </c>
      <c r="AM70">
        <f t="shared" si="4"/>
        <v>2.6600125975095694E-2</v>
      </c>
      <c r="AN70">
        <f t="shared" si="5"/>
        <v>2.3741460342070836E-2</v>
      </c>
    </row>
    <row r="71" spans="1:40" x14ac:dyDescent="0.2">
      <c r="A71" t="s">
        <v>46</v>
      </c>
      <c r="B71">
        <v>2022</v>
      </c>
      <c r="C71">
        <v>204.04907812354611</v>
      </c>
      <c r="D71">
        <v>86.47672531650359</v>
      </c>
      <c r="E71">
        <v>5.0616032909624309</v>
      </c>
      <c r="F71">
        <v>3.548235034270633</v>
      </c>
      <c r="G71">
        <v>5.0922796745440211</v>
      </c>
      <c r="H71">
        <v>2.8835800566695058</v>
      </c>
      <c r="I71">
        <v>0.19428376268340641</v>
      </c>
      <c r="J71">
        <v>0.45786450000000001</v>
      </c>
      <c r="K71">
        <v>0.36799999999999999</v>
      </c>
      <c r="L71">
        <v>17.7</v>
      </c>
      <c r="M71">
        <v>0.16248360091661029</v>
      </c>
      <c r="N71">
        <v>54</v>
      </c>
      <c r="O71">
        <v>1</v>
      </c>
      <c r="P71">
        <v>31.044002860059159</v>
      </c>
      <c r="Q71">
        <v>44.560491458513482</v>
      </c>
      <c r="R71">
        <v>17.008539262958578</v>
      </c>
      <c r="S71">
        <v>7.2700267270678669</v>
      </c>
      <c r="T71">
        <v>0.1169396914009013</v>
      </c>
      <c r="U71" t="s">
        <v>118</v>
      </c>
      <c r="V71">
        <v>847.05799304802395</v>
      </c>
      <c r="W71">
        <v>36.304557755382469</v>
      </c>
      <c r="AK71" t="s">
        <v>133</v>
      </c>
      <c r="AL71">
        <f t="shared" si="3"/>
        <v>12.979383630633214</v>
      </c>
      <c r="AM71">
        <f t="shared" si="4"/>
        <v>2.5908293660736652E-2</v>
      </c>
      <c r="AN71">
        <f t="shared" si="5"/>
        <v>2.480581307942871E-2</v>
      </c>
    </row>
    <row r="72" spans="1:40" x14ac:dyDescent="0.2">
      <c r="A72" t="s">
        <v>47</v>
      </c>
      <c r="B72">
        <v>2016</v>
      </c>
      <c r="C72">
        <v>136.97708507495159</v>
      </c>
      <c r="D72">
        <v>68.159305108619719</v>
      </c>
      <c r="E72">
        <v>6.2984551607251236</v>
      </c>
      <c r="F72">
        <v>2.9917662013444342</v>
      </c>
      <c r="G72">
        <v>7.3291114597528706</v>
      </c>
      <c r="H72">
        <v>2.7770461390469872</v>
      </c>
      <c r="I72">
        <v>0.322080093446171</v>
      </c>
      <c r="J72">
        <v>0.3076662</v>
      </c>
      <c r="K72">
        <v>0.35</v>
      </c>
      <c r="L72">
        <v>14.6</v>
      </c>
      <c r="M72">
        <v>0.1698121262054274</v>
      </c>
      <c r="N72">
        <v>136</v>
      </c>
      <c r="O72">
        <v>3</v>
      </c>
      <c r="P72">
        <v>25.882263881</v>
      </c>
      <c r="Q72">
        <v>48.704760329999999</v>
      </c>
      <c r="R72">
        <v>21.165326570000001</v>
      </c>
      <c r="S72">
        <v>4.0278766709999996</v>
      </c>
      <c r="T72">
        <v>0.2197725479999946</v>
      </c>
      <c r="U72" t="s">
        <v>47</v>
      </c>
      <c r="AK72" t="s">
        <v>136</v>
      </c>
      <c r="AL72">
        <f t="shared" si="3"/>
        <v>12.91344415006</v>
      </c>
      <c r="AM72">
        <f t="shared" si="4"/>
        <v>5.5857456369526604E-2</v>
      </c>
      <c r="AN72">
        <f t="shared" si="5"/>
        <v>4.5981816281743138E-2</v>
      </c>
    </row>
    <row r="73" spans="1:40" x14ac:dyDescent="0.2">
      <c r="A73" t="s">
        <v>47</v>
      </c>
      <c r="B73">
        <v>2018</v>
      </c>
      <c r="C73">
        <v>125.2451323587773</v>
      </c>
      <c r="D73">
        <v>60.493188530816482</v>
      </c>
      <c r="E73">
        <v>5.2527067038032058</v>
      </c>
      <c r="F73">
        <v>2.2345768850433529</v>
      </c>
      <c r="G73">
        <v>7.0882520022316751</v>
      </c>
      <c r="H73">
        <v>2.960088860706779</v>
      </c>
      <c r="I73">
        <v>8.7061437079611101E-2</v>
      </c>
      <c r="J73">
        <v>0.34663579999999999</v>
      </c>
      <c r="K73">
        <v>0.34200000000000003</v>
      </c>
      <c r="L73">
        <v>13.1</v>
      </c>
      <c r="M73">
        <v>0.15414915418583949</v>
      </c>
      <c r="N73">
        <v>142</v>
      </c>
      <c r="O73">
        <v>3</v>
      </c>
      <c r="P73">
        <v>26.805189838</v>
      </c>
      <c r="Q73">
        <v>48.402676092999997</v>
      </c>
      <c r="R73">
        <v>20.032031591999999</v>
      </c>
      <c r="S73">
        <v>4.4867022690000002</v>
      </c>
      <c r="T73">
        <v>0.2734002079999982</v>
      </c>
      <c r="U73" t="s">
        <v>47</v>
      </c>
      <c r="V73">
        <v>2862.9615550607632</v>
      </c>
      <c r="W73">
        <v>36.362575434745267</v>
      </c>
      <c r="AK73" t="s">
        <v>136</v>
      </c>
      <c r="AL73">
        <f t="shared" si="3"/>
        <v>12.931389055440002</v>
      </c>
      <c r="AM73">
        <f t="shared" si="4"/>
        <v>5.7290158141690313E-2</v>
      </c>
      <c r="AN73">
        <f t="shared" si="5"/>
        <v>4.193940798239007E-2</v>
      </c>
    </row>
    <row r="74" spans="1:40" x14ac:dyDescent="0.2">
      <c r="A74" t="s">
        <v>47</v>
      </c>
      <c r="B74">
        <v>2021</v>
      </c>
      <c r="C74">
        <v>121.0640943775385</v>
      </c>
      <c r="D74">
        <v>52.388087614997097</v>
      </c>
      <c r="E74">
        <v>6.8027768443311558</v>
      </c>
      <c r="F74">
        <v>2.6451103830641411</v>
      </c>
      <c r="G74">
        <v>6.9890522234201793</v>
      </c>
      <c r="H74">
        <v>3.0996223080413592</v>
      </c>
      <c r="I74">
        <v>0.1639223335983411</v>
      </c>
      <c r="J74">
        <v>0.5407284</v>
      </c>
      <c r="K74">
        <v>0.33600000000000002</v>
      </c>
      <c r="L74">
        <v>12</v>
      </c>
      <c r="M74">
        <v>0.13808256109818531</v>
      </c>
      <c r="N74">
        <v>139</v>
      </c>
      <c r="O74">
        <v>3</v>
      </c>
      <c r="P74">
        <v>28.20744352180472</v>
      </c>
      <c r="Q74">
        <v>47.685560175303962</v>
      </c>
      <c r="R74">
        <v>19.9583997136479</v>
      </c>
      <c r="S74">
        <v>3.9515674835808161</v>
      </c>
      <c r="T74">
        <v>0.19702910566260809</v>
      </c>
      <c r="U74" t="s">
        <v>47</v>
      </c>
      <c r="V74">
        <v>1007.780268118372</v>
      </c>
      <c r="W74">
        <v>35.859020364085247</v>
      </c>
      <c r="AK74" t="s">
        <v>136</v>
      </c>
      <c r="AL74">
        <f t="shared" si="3"/>
        <v>12.989185557310268</v>
      </c>
      <c r="AM74">
        <f t="shared" si="4"/>
        <v>5.908419497784341E-2</v>
      </c>
      <c r="AN74">
        <f t="shared" si="5"/>
        <v>5.6191531265386493E-2</v>
      </c>
    </row>
    <row r="75" spans="1:40" x14ac:dyDescent="0.2">
      <c r="A75" t="s">
        <v>47</v>
      </c>
      <c r="B75">
        <v>2020</v>
      </c>
      <c r="C75">
        <v>127.8768801309761</v>
      </c>
      <c r="D75">
        <v>52.185781086206291</v>
      </c>
      <c r="E75">
        <v>6.0511654750827431</v>
      </c>
      <c r="F75">
        <v>2.385130917185899</v>
      </c>
      <c r="G75">
        <v>6.868293659674209</v>
      </c>
      <c r="H75">
        <v>2.2526236440089051</v>
      </c>
      <c r="I75">
        <v>8.8338182117996197E-2</v>
      </c>
      <c r="J75">
        <v>0.40478550000000002</v>
      </c>
      <c r="K75">
        <v>0.33</v>
      </c>
      <c r="L75">
        <v>12.6</v>
      </c>
      <c r="M75">
        <v>0.14177281350138229</v>
      </c>
      <c r="N75">
        <v>139</v>
      </c>
      <c r="O75">
        <v>3</v>
      </c>
      <c r="P75">
        <v>28.849964554</v>
      </c>
      <c r="Q75">
        <v>46.491910300999997</v>
      </c>
      <c r="R75">
        <v>20.127964300999999</v>
      </c>
      <c r="S75">
        <v>4.4568691989999998</v>
      </c>
      <c r="T75">
        <v>7.3291644999997629E-2</v>
      </c>
      <c r="U75" t="s">
        <v>47</v>
      </c>
      <c r="V75">
        <v>2812.45336068392</v>
      </c>
      <c r="W75">
        <v>40.149836537163353</v>
      </c>
      <c r="AK75" t="s">
        <v>136</v>
      </c>
      <c r="AL75">
        <f t="shared" si="3"/>
        <v>12.989568989049999</v>
      </c>
      <c r="AM75">
        <f t="shared" si="4"/>
        <v>5.440101318289102E-2</v>
      </c>
      <c r="AN75">
        <f t="shared" si="5"/>
        <v>4.7320246387657576E-2</v>
      </c>
    </row>
    <row r="76" spans="1:40" x14ac:dyDescent="0.2">
      <c r="A76" t="s">
        <v>47</v>
      </c>
      <c r="B76">
        <v>2017</v>
      </c>
      <c r="C76">
        <v>131.38322638401439</v>
      </c>
      <c r="D76">
        <v>65.126702019791324</v>
      </c>
      <c r="E76">
        <v>5.4907926675249481</v>
      </c>
      <c r="F76">
        <v>2.54030119480512</v>
      </c>
      <c r="G76">
        <v>6.6278113326218566</v>
      </c>
      <c r="H76">
        <v>3.1447921306794262</v>
      </c>
      <c r="I76">
        <v>0.1151411306427249</v>
      </c>
      <c r="J76">
        <v>0.32247350000000002</v>
      </c>
      <c r="K76">
        <v>0.34699999999999998</v>
      </c>
      <c r="L76">
        <v>13.2</v>
      </c>
      <c r="M76">
        <v>0.1623540051993401</v>
      </c>
      <c r="N76">
        <v>136</v>
      </c>
      <c r="O76">
        <v>3</v>
      </c>
      <c r="P76">
        <v>28.172660016999998</v>
      </c>
      <c r="Q76">
        <v>46.417454194000001</v>
      </c>
      <c r="R76">
        <v>20.69345371</v>
      </c>
      <c r="S76">
        <v>4.3644883720000003</v>
      </c>
      <c r="T76">
        <v>0.35194370700000382</v>
      </c>
      <c r="U76" t="s">
        <v>47</v>
      </c>
      <c r="V76">
        <v>2819.9703857698059</v>
      </c>
      <c r="W76">
        <v>35.633780032897462</v>
      </c>
      <c r="AK76" t="s">
        <v>136</v>
      </c>
      <c r="AL76">
        <f t="shared" si="3"/>
        <v>12.943329657629999</v>
      </c>
      <c r="AM76">
        <f t="shared" si="4"/>
        <v>5.132278030344524E-2</v>
      </c>
      <c r="AN76">
        <f t="shared" si="5"/>
        <v>4.1792189297255845E-2</v>
      </c>
    </row>
    <row r="77" spans="1:40" x14ac:dyDescent="0.2">
      <c r="A77" t="s">
        <v>47</v>
      </c>
      <c r="B77">
        <v>2019</v>
      </c>
      <c r="C77">
        <v>122.90920006882391</v>
      </c>
      <c r="D77">
        <v>52.130428575089418</v>
      </c>
      <c r="E77">
        <v>5.0739307587832814</v>
      </c>
      <c r="F77">
        <v>2.108646549104741</v>
      </c>
      <c r="G77">
        <v>6.5968421553589272</v>
      </c>
      <c r="H77">
        <v>2.5113394664684932</v>
      </c>
      <c r="I77">
        <v>8.7860272879364099E-2</v>
      </c>
      <c r="J77">
        <v>0.38900220000000002</v>
      </c>
      <c r="K77">
        <v>0.33800000000000002</v>
      </c>
      <c r="L77">
        <v>12.7</v>
      </c>
      <c r="M77">
        <v>0.14658070895538619</v>
      </c>
      <c r="N77">
        <v>109</v>
      </c>
      <c r="O77">
        <v>3</v>
      </c>
      <c r="P77">
        <v>28.669525781857519</v>
      </c>
      <c r="Q77">
        <v>46.796922449506802</v>
      </c>
      <c r="R77">
        <v>20.4175981698186</v>
      </c>
      <c r="S77">
        <v>3.837517307000669</v>
      </c>
      <c r="T77">
        <v>0.27843629181640489</v>
      </c>
      <c r="U77" t="s">
        <v>47</v>
      </c>
      <c r="V77">
        <v>2893.5950546814252</v>
      </c>
      <c r="W77">
        <v>36.024332904084403</v>
      </c>
      <c r="AK77" t="s">
        <v>136</v>
      </c>
      <c r="AL77">
        <f t="shared" si="3"/>
        <v>12.986478593697274</v>
      </c>
      <c r="AM77">
        <f t="shared" si="4"/>
        <v>5.4387323524155581E-2</v>
      </c>
      <c r="AN77">
        <f t="shared" si="5"/>
        <v>4.1281944361708456E-2</v>
      </c>
    </row>
    <row r="78" spans="1:40" x14ac:dyDescent="0.2">
      <c r="A78" t="s">
        <v>47</v>
      </c>
      <c r="B78">
        <v>2022</v>
      </c>
      <c r="C78">
        <v>121.09652929628569</v>
      </c>
      <c r="D78">
        <v>51.108784974315242</v>
      </c>
      <c r="E78">
        <v>6.6158310578996966</v>
      </c>
      <c r="F78">
        <v>2.421334565109686</v>
      </c>
      <c r="G78">
        <v>6.0794123234753972</v>
      </c>
      <c r="H78">
        <v>3.0844077229397242</v>
      </c>
      <c r="I78">
        <v>0.11920416320539989</v>
      </c>
      <c r="J78">
        <v>0.58513139999999997</v>
      </c>
      <c r="K78">
        <v>0.33500000000000002</v>
      </c>
      <c r="L78">
        <v>9.8000000000000007</v>
      </c>
      <c r="M78">
        <v>0.13537346291819241</v>
      </c>
      <c r="N78">
        <v>139</v>
      </c>
      <c r="O78">
        <v>2</v>
      </c>
      <c r="P78">
        <v>28.98940136371494</v>
      </c>
      <c r="Q78">
        <v>45.583349331670362</v>
      </c>
      <c r="R78">
        <v>20.635341281534998</v>
      </c>
      <c r="S78">
        <v>4.6971692302527863</v>
      </c>
      <c r="T78">
        <v>9.473879282690234E-2</v>
      </c>
      <c r="U78" t="s">
        <v>47</v>
      </c>
      <c r="V78">
        <v>973.94782138214111</v>
      </c>
      <c r="W78">
        <v>36.4635671046046</v>
      </c>
      <c r="AK78" t="s">
        <v>136</v>
      </c>
      <c r="AL78">
        <f t="shared" si="3"/>
        <v>12.970667941079064</v>
      </c>
      <c r="AM78">
        <f t="shared" si="4"/>
        <v>5.1187400024609316E-2</v>
      </c>
      <c r="AN78">
        <f t="shared" si="5"/>
        <v>5.4632705795496478E-2</v>
      </c>
    </row>
    <row r="79" spans="1:40" x14ac:dyDescent="0.2">
      <c r="A79" t="s">
        <v>48</v>
      </c>
      <c r="B79">
        <v>2022</v>
      </c>
      <c r="C79">
        <v>144.53981213154</v>
      </c>
      <c r="D79">
        <v>57.168462232149452</v>
      </c>
      <c r="E79">
        <v>4.7416407521156874</v>
      </c>
      <c r="F79">
        <v>2.832147521991264</v>
      </c>
      <c r="G79">
        <v>10.59046665447158</v>
      </c>
      <c r="H79">
        <v>3.646490223073739</v>
      </c>
      <c r="I79">
        <v>1.1312543926367371</v>
      </c>
      <c r="J79">
        <v>0.49118659999999997</v>
      </c>
      <c r="K79">
        <v>0.34599999999999997</v>
      </c>
      <c r="L79">
        <v>9.4</v>
      </c>
      <c r="M79">
        <v>0.1453377075169848</v>
      </c>
      <c r="N79">
        <v>281</v>
      </c>
      <c r="O79">
        <v>12</v>
      </c>
      <c r="P79">
        <v>35.72364658971707</v>
      </c>
      <c r="Q79">
        <v>45.808980173734362</v>
      </c>
      <c r="R79">
        <v>14.26329358883762</v>
      </c>
      <c r="S79">
        <v>4.1582210155729209</v>
      </c>
      <c r="T79">
        <v>4.5858632138020987E-2</v>
      </c>
      <c r="U79" t="s">
        <v>48</v>
      </c>
      <c r="V79">
        <v>1047.205533227889</v>
      </c>
      <c r="W79">
        <v>38.340153541017308</v>
      </c>
      <c r="X79">
        <v>9.65</v>
      </c>
      <c r="AA79">
        <v>2.74</v>
      </c>
      <c r="AD79">
        <v>762.04</v>
      </c>
      <c r="AF79">
        <v>69.150000000000006</v>
      </c>
      <c r="AH79">
        <v>5.45</v>
      </c>
      <c r="AI79">
        <v>14.41</v>
      </c>
      <c r="AK79" t="s">
        <v>131</v>
      </c>
      <c r="AL79">
        <f t="shared" si="3"/>
        <v>13.25875094250225</v>
      </c>
      <c r="AM79">
        <f t="shared" si="4"/>
        <v>8.1096833282451208E-2</v>
      </c>
      <c r="AN79">
        <f t="shared" si="5"/>
        <v>3.2805084510560363E-2</v>
      </c>
    </row>
    <row r="80" spans="1:40" x14ac:dyDescent="0.2">
      <c r="A80" t="s">
        <v>48</v>
      </c>
      <c r="B80">
        <v>2021</v>
      </c>
      <c r="C80">
        <v>153.19920017974951</v>
      </c>
      <c r="D80">
        <v>61.021047816254722</v>
      </c>
      <c r="E80">
        <v>4.7968201164168436</v>
      </c>
      <c r="F80">
        <v>2.832831425112222</v>
      </c>
      <c r="G80">
        <v>8.6803450800870952</v>
      </c>
      <c r="H80">
        <v>3.495576580202671</v>
      </c>
      <c r="I80">
        <v>0.78802015391852109</v>
      </c>
      <c r="J80">
        <v>0.4264001</v>
      </c>
      <c r="K80">
        <v>0.35</v>
      </c>
      <c r="L80">
        <v>11.5</v>
      </c>
      <c r="M80">
        <v>0.15198202133474639</v>
      </c>
      <c r="N80">
        <v>267</v>
      </c>
      <c r="O80">
        <v>12</v>
      </c>
      <c r="P80">
        <v>30.382413077291819</v>
      </c>
      <c r="Q80">
        <v>49.647146991903007</v>
      </c>
      <c r="R80">
        <v>15.537576398053551</v>
      </c>
      <c r="S80">
        <v>4.2708195087821714</v>
      </c>
      <c r="T80">
        <v>0.16204402396945741</v>
      </c>
      <c r="U80" t="s">
        <v>48</v>
      </c>
      <c r="V80">
        <v>985.42863513622615</v>
      </c>
      <c r="W80">
        <v>36.449137113354389</v>
      </c>
      <c r="X80">
        <v>10.08</v>
      </c>
      <c r="AA80">
        <v>2.94</v>
      </c>
      <c r="AD80">
        <v>762.38</v>
      </c>
      <c r="AF80">
        <v>68.06</v>
      </c>
      <c r="AH80">
        <v>5.14</v>
      </c>
      <c r="AI80">
        <v>13.73</v>
      </c>
      <c r="AK80" t="s">
        <v>131</v>
      </c>
      <c r="AL80">
        <f t="shared" si="3"/>
        <v>13.11147999107623</v>
      </c>
      <c r="AM80">
        <f t="shared" si="4"/>
        <v>6.1804273278818225E-2</v>
      </c>
      <c r="AN80">
        <f t="shared" si="5"/>
        <v>3.1310999736217336E-2</v>
      </c>
    </row>
    <row r="81" spans="1:40" x14ac:dyDescent="0.2">
      <c r="A81" t="s">
        <v>48</v>
      </c>
      <c r="B81">
        <v>2016</v>
      </c>
      <c r="C81">
        <v>152.1718722812073</v>
      </c>
      <c r="D81">
        <v>68.450240520484215</v>
      </c>
      <c r="E81">
        <v>4.9765567647589073</v>
      </c>
      <c r="F81">
        <v>2.8241075878939661</v>
      </c>
      <c r="G81">
        <v>7.7888808717576277</v>
      </c>
      <c r="H81">
        <v>4.1085070054757837</v>
      </c>
      <c r="I81">
        <v>0.89161672107361645</v>
      </c>
      <c r="J81">
        <v>0.3222505</v>
      </c>
      <c r="K81">
        <v>0.34399999999999997</v>
      </c>
      <c r="L81">
        <v>14.4</v>
      </c>
      <c r="M81">
        <v>0.1861983744908102</v>
      </c>
      <c r="N81">
        <v>314</v>
      </c>
      <c r="O81">
        <v>12</v>
      </c>
      <c r="P81">
        <v>30.744334297000002</v>
      </c>
      <c r="Q81">
        <v>46.825074806999993</v>
      </c>
      <c r="R81">
        <v>18.475580600000001</v>
      </c>
      <c r="S81">
        <v>3.8580615900000002</v>
      </c>
      <c r="T81">
        <v>9.6948706000006268E-2</v>
      </c>
      <c r="U81" t="s">
        <v>48</v>
      </c>
      <c r="X81">
        <v>8.01</v>
      </c>
      <c r="AA81">
        <v>2.2999999999999998</v>
      </c>
      <c r="AD81">
        <v>762.95</v>
      </c>
      <c r="AF81">
        <v>72.48</v>
      </c>
      <c r="AH81">
        <v>4.76</v>
      </c>
      <c r="AI81">
        <v>14.28</v>
      </c>
      <c r="AK81" t="s">
        <v>131</v>
      </c>
      <c r="AL81">
        <f t="shared" si="3"/>
        <v>13.082327226799999</v>
      </c>
      <c r="AM81">
        <f t="shared" si="4"/>
        <v>5.704403489752722E-2</v>
      </c>
      <c r="AN81">
        <f t="shared" si="5"/>
        <v>3.270352588921583E-2</v>
      </c>
    </row>
    <row r="82" spans="1:40" x14ac:dyDescent="0.2">
      <c r="A82" t="s">
        <v>48</v>
      </c>
      <c r="B82">
        <v>2019</v>
      </c>
      <c r="C82">
        <v>163.99542334643661</v>
      </c>
      <c r="D82">
        <v>61.132382775096723</v>
      </c>
      <c r="E82">
        <v>4.5264044914694228</v>
      </c>
      <c r="F82">
        <v>2.281148342837453</v>
      </c>
      <c r="G82">
        <v>7.6131331931410813</v>
      </c>
      <c r="H82">
        <v>2.5682858964813291</v>
      </c>
      <c r="I82">
        <v>0.4147542441522642</v>
      </c>
      <c r="J82">
        <v>0.38034990000000002</v>
      </c>
      <c r="K82">
        <v>0.34499999999999997</v>
      </c>
      <c r="L82">
        <v>13.1</v>
      </c>
      <c r="M82">
        <v>0.16425747975822119</v>
      </c>
      <c r="N82">
        <v>212</v>
      </c>
      <c r="O82">
        <v>19</v>
      </c>
      <c r="P82">
        <v>30.579061968269929</v>
      </c>
      <c r="Q82">
        <v>47.834011019855488</v>
      </c>
      <c r="R82">
        <v>17.526769281243471</v>
      </c>
      <c r="S82">
        <v>3.8470957665868819</v>
      </c>
      <c r="T82">
        <v>0.21306196404422911</v>
      </c>
      <c r="U82" t="s">
        <v>48</v>
      </c>
      <c r="V82">
        <v>2757.286698306963</v>
      </c>
      <c r="W82">
        <v>37.442077416981277</v>
      </c>
      <c r="X82">
        <v>9.75</v>
      </c>
      <c r="AA82">
        <v>2.94</v>
      </c>
      <c r="AD82">
        <v>762.58</v>
      </c>
      <c r="AF82">
        <v>69.02</v>
      </c>
      <c r="AH82">
        <v>4.8899999999999997</v>
      </c>
      <c r="AI82">
        <v>13.74</v>
      </c>
      <c r="AK82" t="s">
        <v>131</v>
      </c>
      <c r="AL82">
        <f t="shared" si="3"/>
        <v>13.087986446313074</v>
      </c>
      <c r="AM82">
        <f t="shared" si="4"/>
        <v>4.8951899226691319E-2</v>
      </c>
      <c r="AN82">
        <f t="shared" si="5"/>
        <v>2.7600797626574591E-2</v>
      </c>
    </row>
    <row r="83" spans="1:40" x14ac:dyDescent="0.2">
      <c r="A83" t="s">
        <v>48</v>
      </c>
      <c r="B83">
        <v>2017</v>
      </c>
      <c r="C83">
        <v>157.30896394054599</v>
      </c>
      <c r="D83">
        <v>63.395342856308893</v>
      </c>
      <c r="E83">
        <v>4.417793927268912</v>
      </c>
      <c r="F83">
        <v>2.532342590452358</v>
      </c>
      <c r="G83">
        <v>6.5754129256761393</v>
      </c>
      <c r="H83">
        <v>3.400123540451609</v>
      </c>
      <c r="I83">
        <v>0.33133454454516842</v>
      </c>
      <c r="J83">
        <v>0.33297739999999998</v>
      </c>
      <c r="K83">
        <v>0.34200000000000003</v>
      </c>
      <c r="L83">
        <v>13.6</v>
      </c>
      <c r="M83">
        <v>0.178310271253521</v>
      </c>
      <c r="N83">
        <v>295</v>
      </c>
      <c r="O83">
        <v>12</v>
      </c>
      <c r="P83">
        <v>30.645731187999999</v>
      </c>
      <c r="Q83">
        <v>47.47294986</v>
      </c>
      <c r="R83">
        <v>18.322115526000001</v>
      </c>
      <c r="S83">
        <v>3.530448604</v>
      </c>
      <c r="T83">
        <v>2.8754821999996238E-2</v>
      </c>
      <c r="U83" t="s">
        <v>48</v>
      </c>
      <c r="V83">
        <v>2673.530295318054</v>
      </c>
      <c r="W83">
        <v>34.025566570722283</v>
      </c>
      <c r="X83">
        <v>7.97</v>
      </c>
      <c r="AA83">
        <v>2.15</v>
      </c>
      <c r="AD83">
        <v>763</v>
      </c>
      <c r="AF83">
        <v>72.790000000000006</v>
      </c>
      <c r="AH83">
        <v>5.29</v>
      </c>
      <c r="AI83">
        <v>14.67</v>
      </c>
      <c r="AK83" t="s">
        <v>131</v>
      </c>
      <c r="AL83">
        <f t="shared" si="3"/>
        <v>13.1026664351</v>
      </c>
      <c r="AM83">
        <f t="shared" si="4"/>
        <v>4.3905619217171073E-2</v>
      </c>
      <c r="AN83">
        <f t="shared" si="5"/>
        <v>2.8083548556956942E-2</v>
      </c>
    </row>
    <row r="84" spans="1:40" x14ac:dyDescent="0.2">
      <c r="A84" t="s">
        <v>48</v>
      </c>
      <c r="B84">
        <v>2018</v>
      </c>
      <c r="C84">
        <v>152.85514160290259</v>
      </c>
      <c r="D84">
        <v>61.298326720279732</v>
      </c>
      <c r="E84">
        <v>4.4025326858305078</v>
      </c>
      <c r="F84">
        <v>2.7089457877677812</v>
      </c>
      <c r="G84">
        <v>5.8819423180960753</v>
      </c>
      <c r="H84">
        <v>2.4590723110044279</v>
      </c>
      <c r="I84">
        <v>0.25383972242626351</v>
      </c>
      <c r="J84">
        <v>0.36476389999999997</v>
      </c>
      <c r="K84">
        <v>0.34899999999999998</v>
      </c>
      <c r="L84">
        <v>13.6</v>
      </c>
      <c r="M84">
        <v>0.17151303548039509</v>
      </c>
      <c r="N84">
        <v>285</v>
      </c>
      <c r="O84">
        <v>12</v>
      </c>
      <c r="P84">
        <v>31.647751847999999</v>
      </c>
      <c r="Q84">
        <v>46.906219981</v>
      </c>
      <c r="R84">
        <v>16.893895381</v>
      </c>
      <c r="S84">
        <v>4.3789592979999998</v>
      </c>
      <c r="T84">
        <v>0.17317349200000359</v>
      </c>
      <c r="U84" t="s">
        <v>48</v>
      </c>
      <c r="V84">
        <v>2698.7141293481709</v>
      </c>
      <c r="W84">
        <v>33.337842566970409</v>
      </c>
      <c r="X84">
        <v>8.98</v>
      </c>
      <c r="AA84">
        <v>1.1499999999999999</v>
      </c>
      <c r="AD84">
        <v>763.84</v>
      </c>
      <c r="AF84">
        <v>65.48</v>
      </c>
      <c r="AH84">
        <v>5.32</v>
      </c>
      <c r="AI84">
        <v>13.14</v>
      </c>
      <c r="AK84" t="s">
        <v>131</v>
      </c>
      <c r="AL84">
        <f t="shared" si="3"/>
        <v>13.104333143139998</v>
      </c>
      <c r="AM84">
        <f t="shared" si="4"/>
        <v>4.0141155712395259E-2</v>
      </c>
      <c r="AN84">
        <f t="shared" si="5"/>
        <v>2.8801992786527945E-2</v>
      </c>
    </row>
    <row r="85" spans="1:40" x14ac:dyDescent="0.2">
      <c r="A85" t="s">
        <v>48</v>
      </c>
      <c r="B85">
        <v>2020</v>
      </c>
      <c r="C85">
        <v>155.30486110999601</v>
      </c>
      <c r="D85">
        <v>61.552703373215003</v>
      </c>
      <c r="E85">
        <v>4.3636462901379183</v>
      </c>
      <c r="F85">
        <v>2.6334424713251838</v>
      </c>
      <c r="G85">
        <v>5.3712591869406943</v>
      </c>
      <c r="H85">
        <v>2.5049818629678571</v>
      </c>
      <c r="I85">
        <v>0.30509394484864932</v>
      </c>
      <c r="J85">
        <v>0.38799099999999997</v>
      </c>
      <c r="K85">
        <v>0.34</v>
      </c>
      <c r="L85">
        <v>12.1</v>
      </c>
      <c r="M85">
        <v>0.15778396097539349</v>
      </c>
      <c r="N85">
        <v>278</v>
      </c>
      <c r="O85">
        <v>12</v>
      </c>
      <c r="P85">
        <v>34.839360970999998</v>
      </c>
      <c r="Q85">
        <v>46.617053941000002</v>
      </c>
      <c r="R85">
        <v>15.155547006000001</v>
      </c>
      <c r="S85">
        <v>3.1793669840000001</v>
      </c>
      <c r="T85">
        <v>0.20867109799999639</v>
      </c>
      <c r="U85" t="s">
        <v>48</v>
      </c>
      <c r="V85">
        <v>2734.5359347324429</v>
      </c>
      <c r="W85">
        <v>36.816915584210491</v>
      </c>
      <c r="X85">
        <v>9.98</v>
      </c>
      <c r="AA85">
        <v>1.39</v>
      </c>
      <c r="AD85">
        <v>763.54</v>
      </c>
      <c r="AF85">
        <v>62.54</v>
      </c>
      <c r="AH85">
        <v>5.31</v>
      </c>
      <c r="AI85">
        <v>14.07</v>
      </c>
      <c r="AK85" t="s">
        <v>131</v>
      </c>
      <c r="AL85">
        <f t="shared" si="3"/>
        <v>13.247721201120003</v>
      </c>
      <c r="AM85">
        <f t="shared" si="4"/>
        <v>3.654974539250911E-2</v>
      </c>
      <c r="AN85">
        <f t="shared" si="5"/>
        <v>2.8097293664538472E-2</v>
      </c>
    </row>
    <row r="86" spans="1:40" x14ac:dyDescent="0.2">
      <c r="A86" t="s">
        <v>49</v>
      </c>
      <c r="B86">
        <v>2021</v>
      </c>
      <c r="C86">
        <v>154.42529464606849</v>
      </c>
      <c r="D86">
        <v>66.478894775342681</v>
      </c>
      <c r="E86">
        <v>5.1344781511013498</v>
      </c>
      <c r="F86">
        <v>2.615021867142989</v>
      </c>
      <c r="G86">
        <v>9.9214450906222353</v>
      </c>
      <c r="H86">
        <v>4.7348402577838167</v>
      </c>
      <c r="I86">
        <v>8.6877802895115007E-3</v>
      </c>
      <c r="J86">
        <v>0.89709430000000001</v>
      </c>
      <c r="K86">
        <v>0.35899999999999999</v>
      </c>
      <c r="L86">
        <v>12.4</v>
      </c>
      <c r="M86">
        <v>0.13515722548579731</v>
      </c>
      <c r="N86">
        <v>154</v>
      </c>
      <c r="O86">
        <v>4</v>
      </c>
      <c r="P86">
        <v>25.385979541560861</v>
      </c>
      <c r="Q86">
        <v>53.408684278560777</v>
      </c>
      <c r="R86">
        <v>14.9227560122675</v>
      </c>
      <c r="S86">
        <v>5.8866651822337683</v>
      </c>
      <c r="T86">
        <v>0.39591498537708958</v>
      </c>
      <c r="U86" t="s">
        <v>49</v>
      </c>
      <c r="V86">
        <v>1035.7390734311571</v>
      </c>
      <c r="W86">
        <v>36.27373010809292</v>
      </c>
      <c r="X86">
        <v>4.67</v>
      </c>
      <c r="AA86">
        <v>0.37</v>
      </c>
      <c r="AD86">
        <v>759.58</v>
      </c>
      <c r="AF86">
        <v>77.61</v>
      </c>
      <c r="AH86">
        <v>2.69</v>
      </c>
      <c r="AI86">
        <v>8.51</v>
      </c>
      <c r="AK86" t="s">
        <v>134</v>
      </c>
      <c r="AL86">
        <f t="shared" si="3"/>
        <v>12.938165514612578</v>
      </c>
      <c r="AM86">
        <f t="shared" si="4"/>
        <v>6.4303797468354434E-2</v>
      </c>
      <c r="AN86">
        <f t="shared" si="5"/>
        <v>3.3248945147679329E-2</v>
      </c>
    </row>
    <row r="87" spans="1:40" x14ac:dyDescent="0.2">
      <c r="A87" t="s">
        <v>49</v>
      </c>
      <c r="B87">
        <v>2016</v>
      </c>
      <c r="C87">
        <v>216.58941554368371</v>
      </c>
      <c r="D87">
        <v>103.0660486576828</v>
      </c>
      <c r="E87">
        <v>8.1082105103625963</v>
      </c>
      <c r="F87">
        <v>3.3342174061304131</v>
      </c>
      <c r="G87">
        <v>7.5693470911900036</v>
      </c>
      <c r="H87">
        <v>3.1237238830161198</v>
      </c>
      <c r="I87">
        <v>0.67357927396574002</v>
      </c>
      <c r="J87">
        <v>0.4302338</v>
      </c>
      <c r="K87">
        <v>0.36599999999999999</v>
      </c>
      <c r="L87">
        <v>13.8</v>
      </c>
      <c r="M87">
        <v>0.17270056318239321</v>
      </c>
      <c r="N87">
        <v>181</v>
      </c>
      <c r="O87">
        <v>3</v>
      </c>
      <c r="P87">
        <v>24.304468027999999</v>
      </c>
      <c r="Q87">
        <v>53.212400471999999</v>
      </c>
      <c r="R87">
        <v>16.665120462000001</v>
      </c>
      <c r="S87">
        <v>5.3884102919999997</v>
      </c>
      <c r="T87">
        <v>0.42960074599999132</v>
      </c>
      <c r="U87" t="s">
        <v>49</v>
      </c>
      <c r="X87">
        <v>4.24</v>
      </c>
      <c r="AA87">
        <v>0.52</v>
      </c>
      <c r="AD87">
        <v>760.4</v>
      </c>
      <c r="AF87">
        <v>79.510000000000005</v>
      </c>
      <c r="AH87">
        <v>2.4300000000000002</v>
      </c>
      <c r="AI87">
        <v>8.36</v>
      </c>
      <c r="AK87" t="s">
        <v>134</v>
      </c>
      <c r="AL87">
        <f t="shared" si="3"/>
        <v>12.898586472499998</v>
      </c>
      <c r="AM87">
        <f t="shared" si="4"/>
        <v>3.8057844814181306E-2</v>
      </c>
      <c r="AN87">
        <f t="shared" si="5"/>
        <v>3.7435857564919919E-2</v>
      </c>
    </row>
    <row r="88" spans="1:40" x14ac:dyDescent="0.2">
      <c r="A88" t="s">
        <v>49</v>
      </c>
      <c r="B88">
        <v>2017</v>
      </c>
      <c r="C88">
        <v>173.0947916138733</v>
      </c>
      <c r="D88">
        <v>89.571402023887956</v>
      </c>
      <c r="E88">
        <v>6.6392985657087831</v>
      </c>
      <c r="F88">
        <v>2.27222813508354</v>
      </c>
      <c r="G88">
        <v>7.2728194212153463</v>
      </c>
      <c r="H88">
        <v>3.4463534539557039</v>
      </c>
      <c r="I88">
        <v>0.1604919500616627</v>
      </c>
      <c r="J88">
        <v>0.46001439999999999</v>
      </c>
      <c r="K88">
        <v>0.35099999999999998</v>
      </c>
      <c r="L88">
        <v>13.9</v>
      </c>
      <c r="M88">
        <v>0.16306277755946269</v>
      </c>
      <c r="N88">
        <v>181</v>
      </c>
      <c r="O88">
        <v>3</v>
      </c>
      <c r="P88">
        <v>24.931041548</v>
      </c>
      <c r="Q88">
        <v>52.200130091000013</v>
      </c>
      <c r="R88">
        <v>15.852669872</v>
      </c>
      <c r="S88">
        <v>6.4321683460000001</v>
      </c>
      <c r="T88">
        <v>0.58399014299999408</v>
      </c>
      <c r="U88" t="s">
        <v>49</v>
      </c>
      <c r="V88">
        <v>2880.7539488492812</v>
      </c>
      <c r="W88">
        <v>33.949201074746533</v>
      </c>
      <c r="X88">
        <v>3.1</v>
      </c>
      <c r="AA88">
        <v>-0.56999999999999995</v>
      </c>
      <c r="AD88">
        <v>758.96</v>
      </c>
      <c r="AF88">
        <v>79.67</v>
      </c>
      <c r="AH88">
        <v>2.8</v>
      </c>
      <c r="AI88">
        <v>8.34</v>
      </c>
      <c r="AK88" t="s">
        <v>134</v>
      </c>
      <c r="AL88">
        <f t="shared" si="3"/>
        <v>12.871721586810002</v>
      </c>
      <c r="AM88">
        <f t="shared" si="4"/>
        <v>4.2943587741557668E-2</v>
      </c>
      <c r="AN88">
        <f t="shared" si="5"/>
        <v>3.8356431778254922E-2</v>
      </c>
    </row>
    <row r="89" spans="1:40" x14ac:dyDescent="0.2">
      <c r="A89" t="s">
        <v>49</v>
      </c>
      <c r="B89">
        <v>2020</v>
      </c>
      <c r="C89">
        <v>149.201383951846</v>
      </c>
      <c r="D89">
        <v>70.11103499088712</v>
      </c>
      <c r="E89">
        <v>5.1445781575171594</v>
      </c>
      <c r="F89">
        <v>2.2663719521390502</v>
      </c>
      <c r="G89">
        <v>6.8680549272046498</v>
      </c>
      <c r="H89">
        <v>3.265988478557794</v>
      </c>
      <c r="I89">
        <v>5.1704303090624702E-2</v>
      </c>
      <c r="J89">
        <v>0.54072249999999999</v>
      </c>
      <c r="K89">
        <v>0.35699999999999998</v>
      </c>
      <c r="L89">
        <v>12.8</v>
      </c>
      <c r="M89">
        <v>0.1392529836413921</v>
      </c>
      <c r="N89">
        <v>161</v>
      </c>
      <c r="O89">
        <v>4</v>
      </c>
      <c r="P89">
        <v>27.108919859</v>
      </c>
      <c r="Q89">
        <v>52.488158579999997</v>
      </c>
      <c r="R89">
        <v>14.752005274</v>
      </c>
      <c r="S89">
        <v>5.4519408120000001</v>
      </c>
      <c r="T89">
        <v>0.19897547499999749</v>
      </c>
      <c r="U89" t="s">
        <v>49</v>
      </c>
      <c r="V89">
        <v>2872.1703666363792</v>
      </c>
      <c r="W89">
        <v>35.515875112380343</v>
      </c>
      <c r="X89">
        <v>6</v>
      </c>
      <c r="AA89">
        <v>2.82</v>
      </c>
      <c r="AD89">
        <v>759.66</v>
      </c>
      <c r="AF89">
        <v>82.67</v>
      </c>
      <c r="AH89">
        <v>2.69</v>
      </c>
      <c r="AI89">
        <v>8.58</v>
      </c>
      <c r="AK89" t="s">
        <v>134</v>
      </c>
      <c r="AL89">
        <f t="shared" si="3"/>
        <v>13.011152866469999</v>
      </c>
      <c r="AM89">
        <f t="shared" si="4"/>
        <v>4.6378653113087691E-2</v>
      </c>
      <c r="AN89">
        <f t="shared" si="5"/>
        <v>3.4480767009356601E-2</v>
      </c>
    </row>
    <row r="90" spans="1:40" x14ac:dyDescent="0.2">
      <c r="A90" t="s">
        <v>49</v>
      </c>
      <c r="B90">
        <v>2018</v>
      </c>
      <c r="C90">
        <v>151.83281223840791</v>
      </c>
      <c r="D90">
        <v>81.644342727772596</v>
      </c>
      <c r="E90">
        <v>4.2662079784887936</v>
      </c>
      <c r="F90">
        <v>2.1416024115123031</v>
      </c>
      <c r="G90">
        <v>6.5862772576271214</v>
      </c>
      <c r="H90">
        <v>3.645823152931658</v>
      </c>
      <c r="I90">
        <v>0</v>
      </c>
      <c r="J90">
        <v>0.52552710000000002</v>
      </c>
      <c r="K90">
        <v>0.35299999999999998</v>
      </c>
      <c r="L90">
        <v>13.5</v>
      </c>
      <c r="M90">
        <v>0.15416724771859169</v>
      </c>
      <c r="N90">
        <v>165</v>
      </c>
      <c r="O90">
        <v>3</v>
      </c>
      <c r="P90">
        <v>25.819974369000001</v>
      </c>
      <c r="Q90">
        <v>52.543244608000002</v>
      </c>
      <c r="R90">
        <v>14.894765980000001</v>
      </c>
      <c r="S90">
        <v>6.3120892550000001</v>
      </c>
      <c r="T90">
        <v>0.42992578799999143</v>
      </c>
      <c r="U90" t="s">
        <v>49</v>
      </c>
      <c r="V90">
        <v>2887.5152999319139</v>
      </c>
      <c r="W90">
        <v>34.209145741004903</v>
      </c>
      <c r="X90">
        <v>4.82</v>
      </c>
      <c r="AA90">
        <v>0.46</v>
      </c>
      <c r="AD90">
        <v>762.01</v>
      </c>
      <c r="AF90">
        <v>76.739999999999995</v>
      </c>
      <c r="AH90">
        <v>2.73</v>
      </c>
      <c r="AI90">
        <v>8.52</v>
      </c>
      <c r="AK90" t="s">
        <v>134</v>
      </c>
      <c r="AL90">
        <f t="shared" si="3"/>
        <v>12.927327276659998</v>
      </c>
      <c r="AM90">
        <f t="shared" si="4"/>
        <v>4.3378484271801195E-2</v>
      </c>
      <c r="AN90">
        <f t="shared" si="5"/>
        <v>2.8098063360573161E-2</v>
      </c>
    </row>
    <row r="91" spans="1:40" x14ac:dyDescent="0.2">
      <c r="A91" t="s">
        <v>49</v>
      </c>
      <c r="B91">
        <v>2022</v>
      </c>
      <c r="C91">
        <v>152.93950232953631</v>
      </c>
      <c r="D91">
        <v>61.014173980871803</v>
      </c>
      <c r="E91">
        <v>5.6218069893115397</v>
      </c>
      <c r="F91">
        <v>2.9778008896509558</v>
      </c>
      <c r="G91">
        <v>6.5089984048122664</v>
      </c>
      <c r="H91">
        <v>3.2413230922749352</v>
      </c>
      <c r="I91">
        <v>3.5136293683197102E-2</v>
      </c>
      <c r="J91">
        <v>0.90348830000000002</v>
      </c>
      <c r="K91">
        <v>0.34599999999999997</v>
      </c>
      <c r="L91">
        <v>10.5</v>
      </c>
      <c r="M91">
        <v>0.13311824065550271</v>
      </c>
      <c r="N91">
        <v>154</v>
      </c>
      <c r="O91">
        <v>4</v>
      </c>
      <c r="P91">
        <v>23.98331896644709</v>
      </c>
      <c r="Q91">
        <v>55.282099446185917</v>
      </c>
      <c r="R91">
        <v>15.54875215029368</v>
      </c>
      <c r="S91">
        <v>5.0847563141417149</v>
      </c>
      <c r="T91">
        <v>0.10107312293159509</v>
      </c>
      <c r="U91" t="s">
        <v>49</v>
      </c>
      <c r="V91">
        <v>1097.5753160550109</v>
      </c>
      <c r="W91">
        <v>37.123871739943688</v>
      </c>
      <c r="X91">
        <v>4.95</v>
      </c>
      <c r="AA91">
        <v>0.85</v>
      </c>
      <c r="AD91">
        <v>760.01</v>
      </c>
      <c r="AF91">
        <v>78.239999999999995</v>
      </c>
      <c r="AH91">
        <v>2.5</v>
      </c>
      <c r="AI91">
        <v>8.41</v>
      </c>
      <c r="AK91" t="s">
        <v>134</v>
      </c>
      <c r="AL91">
        <f t="shared" si="3"/>
        <v>12.956204502693556</v>
      </c>
      <c r="AM91">
        <f t="shared" si="4"/>
        <v>4.2789041410602482E-2</v>
      </c>
      <c r="AN91">
        <f t="shared" si="5"/>
        <v>3.6758371144678642E-2</v>
      </c>
    </row>
    <row r="92" spans="1:40" x14ac:dyDescent="0.2">
      <c r="A92" t="s">
        <v>49</v>
      </c>
      <c r="B92">
        <v>2019</v>
      </c>
      <c r="C92">
        <v>151.8009990468548</v>
      </c>
      <c r="D92">
        <v>77.382027946935594</v>
      </c>
      <c r="E92">
        <v>4.8642089280499574</v>
      </c>
      <c r="F92">
        <v>2.3207757385590471</v>
      </c>
      <c r="G92">
        <v>5.7890937242284704</v>
      </c>
      <c r="H92">
        <v>3.3312980158652001</v>
      </c>
      <c r="I92">
        <v>8.5637481127640008E-3</v>
      </c>
      <c r="J92">
        <v>0.5439541</v>
      </c>
      <c r="K92">
        <v>0.35599999999999998</v>
      </c>
      <c r="L92">
        <v>12.9</v>
      </c>
      <c r="M92">
        <v>0.14536319589766791</v>
      </c>
      <c r="N92">
        <v>121</v>
      </c>
      <c r="O92">
        <v>3</v>
      </c>
      <c r="P92">
        <v>27.10476985217301</v>
      </c>
      <c r="Q92">
        <v>49.020742097910173</v>
      </c>
      <c r="R92">
        <v>16.337878689740808</v>
      </c>
      <c r="S92">
        <v>6.9877719511329603</v>
      </c>
      <c r="T92">
        <v>0.54883740904305967</v>
      </c>
      <c r="U92" t="s">
        <v>49</v>
      </c>
      <c r="V92">
        <v>2835.7391003847902</v>
      </c>
      <c r="W92">
        <v>35.046852282061963</v>
      </c>
      <c r="X92">
        <v>5.62</v>
      </c>
      <c r="AA92">
        <v>1.7</v>
      </c>
      <c r="AD92">
        <v>758.52</v>
      </c>
      <c r="AF92">
        <v>79.42</v>
      </c>
      <c r="AH92">
        <v>2.7</v>
      </c>
      <c r="AI92">
        <v>8.4499999999999993</v>
      </c>
      <c r="AK92" t="s">
        <v>134</v>
      </c>
      <c r="AL92">
        <f t="shared" si="3"/>
        <v>12.88643157838945</v>
      </c>
      <c r="AM92">
        <f t="shared" si="4"/>
        <v>3.8192485614351811E-2</v>
      </c>
      <c r="AN92">
        <f t="shared" si="5"/>
        <v>3.2043326187521162E-2</v>
      </c>
    </row>
    <row r="93" spans="1:40" x14ac:dyDescent="0.2">
      <c r="A93" t="s">
        <v>50</v>
      </c>
      <c r="B93">
        <v>2017</v>
      </c>
      <c r="C93">
        <v>139.4659948069031</v>
      </c>
      <c r="D93">
        <v>55.874605208169193</v>
      </c>
      <c r="E93">
        <v>5.0226769797825472</v>
      </c>
      <c r="F93">
        <v>1.7941190575693839</v>
      </c>
      <c r="G93">
        <v>6.9795085055801813</v>
      </c>
      <c r="H93">
        <v>3.0273082904571709</v>
      </c>
      <c r="I93">
        <v>0.23122298116646001</v>
      </c>
      <c r="J93">
        <v>0.37273800000000001</v>
      </c>
      <c r="K93">
        <v>0.39800000000000002</v>
      </c>
      <c r="L93">
        <v>9</v>
      </c>
      <c r="M93">
        <v>0.1795932597426316</v>
      </c>
      <c r="N93">
        <v>265</v>
      </c>
      <c r="O93">
        <v>15</v>
      </c>
      <c r="P93">
        <v>32.746370698</v>
      </c>
      <c r="Q93">
        <v>36.633941634999999</v>
      </c>
      <c r="R93">
        <v>27.813649595000001</v>
      </c>
      <c r="S93">
        <v>2.6451613219999999</v>
      </c>
      <c r="T93">
        <v>0.1608767499999999</v>
      </c>
      <c r="U93" t="s">
        <v>50</v>
      </c>
      <c r="V93">
        <v>2730.930593748149</v>
      </c>
      <c r="W93">
        <v>32.367814633519473</v>
      </c>
      <c r="X93">
        <v>6.36</v>
      </c>
      <c r="AA93">
        <v>1.31</v>
      </c>
      <c r="AD93">
        <v>761.71</v>
      </c>
      <c r="AF93">
        <v>74.760000000000005</v>
      </c>
      <c r="AH93">
        <v>3.72</v>
      </c>
      <c r="AI93">
        <v>11.93</v>
      </c>
      <c r="AK93" t="s">
        <v>136</v>
      </c>
      <c r="AL93">
        <f t="shared" si="3"/>
        <v>12.978369061679999</v>
      </c>
      <c r="AM93">
        <f t="shared" si="4"/>
        <v>5.1702434681158094E-2</v>
      </c>
      <c r="AN93">
        <f t="shared" si="5"/>
        <v>3.6013631758312611E-2</v>
      </c>
    </row>
    <row r="94" spans="1:40" x14ac:dyDescent="0.2">
      <c r="A94" t="s">
        <v>50</v>
      </c>
      <c r="B94">
        <v>2018</v>
      </c>
      <c r="C94">
        <v>125.582320093514</v>
      </c>
      <c r="D94">
        <v>53.522886593697407</v>
      </c>
      <c r="E94">
        <v>4.8676646521847928</v>
      </c>
      <c r="F94">
        <v>2.1038937889284619</v>
      </c>
      <c r="G94">
        <v>6.7530277216929884</v>
      </c>
      <c r="H94">
        <v>2.926597673804765</v>
      </c>
      <c r="I94">
        <v>0.31708378896274181</v>
      </c>
      <c r="J94">
        <v>0.40638570000000002</v>
      </c>
      <c r="K94">
        <v>0.39700000000000002</v>
      </c>
      <c r="L94">
        <v>8.9</v>
      </c>
      <c r="M94">
        <v>0.17198906258202101</v>
      </c>
      <c r="N94">
        <v>272</v>
      </c>
      <c r="O94">
        <v>15</v>
      </c>
      <c r="P94">
        <v>32.607346378000003</v>
      </c>
      <c r="Q94">
        <v>38.461270728999999</v>
      </c>
      <c r="R94">
        <v>25.672207322999999</v>
      </c>
      <c r="S94">
        <v>2.9688780449999999</v>
      </c>
      <c r="T94">
        <v>0.29029752500001388</v>
      </c>
      <c r="U94" t="s">
        <v>50</v>
      </c>
      <c r="V94">
        <v>2822.941783898726</v>
      </c>
      <c r="W94">
        <v>32.043716621697293</v>
      </c>
      <c r="X94">
        <v>7.15</v>
      </c>
      <c r="AA94">
        <v>0.9</v>
      </c>
      <c r="AD94">
        <v>763.46</v>
      </c>
      <c r="AF94">
        <v>70.180000000000007</v>
      </c>
      <c r="AH94">
        <v>3.41</v>
      </c>
      <c r="AI94">
        <v>11.75</v>
      </c>
      <c r="AK94" t="s">
        <v>136</v>
      </c>
      <c r="AL94">
        <f t="shared" si="3"/>
        <v>12.993820882050002</v>
      </c>
      <c r="AM94">
        <f t="shared" si="4"/>
        <v>5.6298621536781779E-2</v>
      </c>
      <c r="AN94">
        <f t="shared" si="5"/>
        <v>3.8760747918657024E-2</v>
      </c>
    </row>
    <row r="95" spans="1:40" x14ac:dyDescent="0.2">
      <c r="A95" t="s">
        <v>50</v>
      </c>
      <c r="B95">
        <v>2021</v>
      </c>
      <c r="C95">
        <v>128.17443381528861</v>
      </c>
      <c r="D95">
        <v>51.721715053035901</v>
      </c>
      <c r="E95">
        <v>5.777217983282501</v>
      </c>
      <c r="F95">
        <v>2.355127150842641</v>
      </c>
      <c r="G95">
        <v>6.3410605792485102</v>
      </c>
      <c r="H95">
        <v>3.2832988088174568</v>
      </c>
      <c r="I95">
        <v>0.20385078469540349</v>
      </c>
      <c r="J95">
        <v>0.55124169999999995</v>
      </c>
      <c r="K95">
        <v>0.39500000000000002</v>
      </c>
      <c r="L95">
        <v>7.9</v>
      </c>
      <c r="M95">
        <v>0.1489902713853164</v>
      </c>
      <c r="N95">
        <v>242</v>
      </c>
      <c r="O95">
        <v>15</v>
      </c>
      <c r="P95">
        <v>34.676189553493423</v>
      </c>
      <c r="Q95">
        <v>38.411264602506513</v>
      </c>
      <c r="R95">
        <v>23.871449310016231</v>
      </c>
      <c r="S95">
        <v>2.939269800328645</v>
      </c>
      <c r="T95">
        <v>0.10182673365520151</v>
      </c>
      <c r="U95" t="s">
        <v>50</v>
      </c>
      <c r="V95">
        <v>940.81265552147079</v>
      </c>
      <c r="W95">
        <v>36.701667634697102</v>
      </c>
      <c r="X95">
        <v>8.2200000000000006</v>
      </c>
      <c r="AA95">
        <v>1.94</v>
      </c>
      <c r="AD95">
        <v>761.55</v>
      </c>
      <c r="AF95">
        <v>70.040000000000006</v>
      </c>
      <c r="AH95">
        <v>3.55</v>
      </c>
      <c r="AI95">
        <v>12.16</v>
      </c>
      <c r="AK95" t="s">
        <v>136</v>
      </c>
      <c r="AL95">
        <f t="shared" si="3"/>
        <v>13.089359606827434</v>
      </c>
      <c r="AM95">
        <f t="shared" si="4"/>
        <v>5.106253383865729E-2</v>
      </c>
      <c r="AN95">
        <f t="shared" si="5"/>
        <v>4.5073091499729302E-2</v>
      </c>
    </row>
    <row r="96" spans="1:40" x14ac:dyDescent="0.2">
      <c r="A96" t="s">
        <v>50</v>
      </c>
      <c r="B96">
        <v>2022</v>
      </c>
      <c r="C96">
        <v>132.28426611981061</v>
      </c>
      <c r="D96">
        <v>49.773800853550547</v>
      </c>
      <c r="E96">
        <v>5.398205606924642</v>
      </c>
      <c r="F96">
        <v>2.319100397504231</v>
      </c>
      <c r="G96">
        <v>6.2146679191545964</v>
      </c>
      <c r="H96">
        <v>3.0487050169437642</v>
      </c>
      <c r="I96">
        <v>0.1216007699065889</v>
      </c>
      <c r="J96">
        <v>0.60059600000000002</v>
      </c>
      <c r="K96">
        <v>0.39</v>
      </c>
      <c r="L96">
        <v>6.9</v>
      </c>
      <c r="M96">
        <v>0.1444226286872719</v>
      </c>
      <c r="N96">
        <v>249</v>
      </c>
      <c r="O96">
        <v>15</v>
      </c>
      <c r="P96">
        <v>35.465037588341367</v>
      </c>
      <c r="Q96">
        <v>39.699754013938808</v>
      </c>
      <c r="R96">
        <v>21.882493592483691</v>
      </c>
      <c r="S96">
        <v>2.716572081732584</v>
      </c>
      <c r="T96">
        <v>0.23614272350354781</v>
      </c>
      <c r="U96" t="s">
        <v>50</v>
      </c>
      <c r="V96">
        <v>932.85373308624037</v>
      </c>
      <c r="W96">
        <v>38.278831912319262</v>
      </c>
      <c r="X96">
        <v>7.82</v>
      </c>
      <c r="AA96">
        <v>2.62</v>
      </c>
      <c r="AD96">
        <v>761.36</v>
      </c>
      <c r="AF96">
        <v>74.23</v>
      </c>
      <c r="AH96">
        <v>3.74</v>
      </c>
      <c r="AI96">
        <v>12.42</v>
      </c>
      <c r="AK96" t="s">
        <v>136</v>
      </c>
      <c r="AL96">
        <f t="shared" si="3"/>
        <v>13.141735151532529</v>
      </c>
      <c r="AM96">
        <f t="shared" si="4"/>
        <v>4.7898883782009197E-2</v>
      </c>
      <c r="AN96">
        <f t="shared" si="5"/>
        <v>4.0807616546290219E-2</v>
      </c>
    </row>
    <row r="97" spans="1:40" x14ac:dyDescent="0.2">
      <c r="A97" t="s">
        <v>50</v>
      </c>
      <c r="B97">
        <v>2016</v>
      </c>
      <c r="C97">
        <v>147.29093108695741</v>
      </c>
      <c r="D97">
        <v>53.842399132281997</v>
      </c>
      <c r="E97">
        <v>5.2111077160820516</v>
      </c>
      <c r="F97">
        <v>2.2370051215418019</v>
      </c>
      <c r="G97">
        <v>6.1881904128474376</v>
      </c>
      <c r="H97">
        <v>2.5669848042213399</v>
      </c>
      <c r="I97">
        <v>0.26569792631339417</v>
      </c>
      <c r="J97">
        <v>0.35354970000000002</v>
      </c>
      <c r="K97">
        <v>0.40500000000000003</v>
      </c>
      <c r="L97">
        <v>9.4</v>
      </c>
      <c r="M97">
        <v>0.18738400647149339</v>
      </c>
      <c r="N97">
        <v>262</v>
      </c>
      <c r="O97">
        <v>15</v>
      </c>
      <c r="P97">
        <v>31.725951160000001</v>
      </c>
      <c r="Q97">
        <v>37.371323648999997</v>
      </c>
      <c r="R97">
        <v>28.555908784</v>
      </c>
      <c r="S97">
        <v>2.261768333</v>
      </c>
      <c r="T97">
        <v>8.5048073999999474E-2</v>
      </c>
      <c r="U97" t="s">
        <v>50</v>
      </c>
      <c r="X97">
        <v>6.48</v>
      </c>
      <c r="AA97">
        <v>2.14</v>
      </c>
      <c r="AD97">
        <v>762.05</v>
      </c>
      <c r="AF97">
        <v>77.33</v>
      </c>
      <c r="AH97">
        <v>3.41</v>
      </c>
      <c r="AI97">
        <v>11.74</v>
      </c>
      <c r="AK97" t="s">
        <v>136</v>
      </c>
      <c r="AL97">
        <f t="shared" si="3"/>
        <v>12.96527578754</v>
      </c>
      <c r="AM97">
        <f t="shared" si="4"/>
        <v>4.381728251382018E-2</v>
      </c>
      <c r="AN97">
        <f t="shared" si="5"/>
        <v>3.5379691591504198E-2</v>
      </c>
    </row>
    <row r="98" spans="1:40" x14ac:dyDescent="0.2">
      <c r="A98" t="s">
        <v>50</v>
      </c>
      <c r="B98">
        <v>2019</v>
      </c>
      <c r="C98">
        <v>132.34694592067001</v>
      </c>
      <c r="D98">
        <v>49.088825987908862</v>
      </c>
      <c r="E98">
        <v>4.8629168651713339</v>
      </c>
      <c r="F98">
        <v>1.7784872634107181</v>
      </c>
      <c r="G98">
        <v>5.8896281114398397</v>
      </c>
      <c r="H98">
        <v>2.4056832548550768</v>
      </c>
      <c r="I98">
        <v>0.21479314775491759</v>
      </c>
      <c r="J98">
        <v>0.4285813</v>
      </c>
      <c r="K98">
        <v>0.39300000000000002</v>
      </c>
      <c r="L98">
        <v>8.9</v>
      </c>
      <c r="M98">
        <v>0.16375784398618809</v>
      </c>
      <c r="N98">
        <v>209</v>
      </c>
      <c r="O98">
        <v>15</v>
      </c>
      <c r="P98">
        <v>31.98140261050672</v>
      </c>
      <c r="Q98">
        <v>39.899407787702451</v>
      </c>
      <c r="R98">
        <v>25.329395458737469</v>
      </c>
      <c r="S98">
        <v>2.5930304151986299</v>
      </c>
      <c r="T98">
        <v>0.19676372785473009</v>
      </c>
      <c r="U98" t="s">
        <v>50</v>
      </c>
      <c r="V98">
        <v>2778.3815016671601</v>
      </c>
      <c r="W98">
        <v>35.109944271478902</v>
      </c>
      <c r="X98">
        <v>8.4700000000000006</v>
      </c>
      <c r="AA98">
        <v>2.5</v>
      </c>
      <c r="AD98">
        <v>761.71</v>
      </c>
      <c r="AF98">
        <v>71.52</v>
      </c>
      <c r="AH98">
        <v>3.44</v>
      </c>
      <c r="AI98">
        <v>11.83</v>
      </c>
      <c r="AK98" t="s">
        <v>136</v>
      </c>
      <c r="AL98">
        <f t="shared" si="3"/>
        <v>13.011610190920512</v>
      </c>
      <c r="AM98">
        <f t="shared" si="4"/>
        <v>4.6124383277070892E-2</v>
      </c>
      <c r="AN98">
        <f t="shared" si="5"/>
        <v>3.6743702934302777E-2</v>
      </c>
    </row>
    <row r="99" spans="1:40" x14ac:dyDescent="0.2">
      <c r="A99" t="s">
        <v>50</v>
      </c>
      <c r="B99">
        <v>2020</v>
      </c>
      <c r="C99">
        <v>127.0541970265101</v>
      </c>
      <c r="D99">
        <v>47.85722429820089</v>
      </c>
      <c r="E99">
        <v>5.0942150111543523</v>
      </c>
      <c r="F99">
        <v>2.0006841048874771</v>
      </c>
      <c r="G99">
        <v>5.829950456177488</v>
      </c>
      <c r="H99">
        <v>2.2201139744557818</v>
      </c>
      <c r="I99">
        <v>0.21082477664405669</v>
      </c>
      <c r="J99">
        <v>0.45656550000000001</v>
      </c>
      <c r="K99">
        <v>0.39100000000000001</v>
      </c>
      <c r="L99">
        <v>8.5</v>
      </c>
      <c r="M99">
        <v>0.1563543833517381</v>
      </c>
      <c r="N99">
        <v>266</v>
      </c>
      <c r="O99">
        <v>15</v>
      </c>
      <c r="P99">
        <v>34.682558186999998</v>
      </c>
      <c r="Q99">
        <v>41.198791159999999</v>
      </c>
      <c r="R99">
        <v>21.524614275000001</v>
      </c>
      <c r="S99">
        <v>2.40635339</v>
      </c>
      <c r="T99">
        <v>0.1876829879999917</v>
      </c>
      <c r="U99" t="s">
        <v>50</v>
      </c>
      <c r="V99">
        <v>2774.9100188647139</v>
      </c>
      <c r="W99">
        <v>37.702262941824372</v>
      </c>
      <c r="X99">
        <v>9.0299999999999994</v>
      </c>
      <c r="AA99">
        <v>1.74</v>
      </c>
      <c r="AD99">
        <v>762.61</v>
      </c>
      <c r="AF99">
        <v>66.27</v>
      </c>
      <c r="AH99">
        <v>3.86</v>
      </c>
      <c r="AI99">
        <v>12.13</v>
      </c>
      <c r="AK99" t="s">
        <v>136</v>
      </c>
      <c r="AL99">
        <f t="shared" si="3"/>
        <v>13.150013273719999</v>
      </c>
      <c r="AM99">
        <f t="shared" si="4"/>
        <v>4.7544869624111079E-2</v>
      </c>
      <c r="AN99">
        <f t="shared" si="5"/>
        <v>4.0094818828310209E-2</v>
      </c>
    </row>
    <row r="100" spans="1:40" x14ac:dyDescent="0.2">
      <c r="A100" t="s">
        <v>51</v>
      </c>
      <c r="B100">
        <v>2016</v>
      </c>
      <c r="C100">
        <v>206.11606067902721</v>
      </c>
      <c r="D100">
        <v>110.5827112930412</v>
      </c>
      <c r="E100">
        <v>6.5615217914760411</v>
      </c>
      <c r="F100">
        <v>5.5983626294245123</v>
      </c>
      <c r="G100">
        <v>8.2470503250662173</v>
      </c>
      <c r="H100">
        <v>3.9730315434625569</v>
      </c>
      <c r="I100">
        <v>0.48157958102576448</v>
      </c>
      <c r="J100">
        <v>0.29840420000000001</v>
      </c>
      <c r="K100">
        <v>0.34499999999999997</v>
      </c>
      <c r="L100">
        <v>25.1</v>
      </c>
      <c r="M100">
        <v>0.19262785304528249</v>
      </c>
      <c r="N100">
        <v>28</v>
      </c>
      <c r="O100">
        <v>1</v>
      </c>
      <c r="P100">
        <v>21.08756524</v>
      </c>
      <c r="Q100">
        <v>45.474338068999998</v>
      </c>
      <c r="R100">
        <v>18.998283238999999</v>
      </c>
      <c r="S100">
        <v>13.592026593</v>
      </c>
      <c r="T100">
        <v>0.84778685899999573</v>
      </c>
      <c r="U100" t="s">
        <v>51</v>
      </c>
      <c r="AK100" t="s">
        <v>133</v>
      </c>
      <c r="AL100">
        <f t="shared" si="3"/>
        <v>12.42180375899</v>
      </c>
      <c r="AM100">
        <f t="shared" si="4"/>
        <v>4.2348130841121497E-2</v>
      </c>
      <c r="AN100">
        <f t="shared" si="5"/>
        <v>3.183411214953271E-2</v>
      </c>
    </row>
    <row r="101" spans="1:40" x14ac:dyDescent="0.2">
      <c r="A101" t="s">
        <v>51</v>
      </c>
      <c r="B101">
        <v>2022</v>
      </c>
      <c r="C101">
        <v>211.52560502741011</v>
      </c>
      <c r="D101">
        <v>112.1807728305923</v>
      </c>
      <c r="E101">
        <v>8.2898783259794087</v>
      </c>
      <c r="F101">
        <v>4.2786468779248574</v>
      </c>
      <c r="G101">
        <v>6.8190934616927397</v>
      </c>
      <c r="H101">
        <v>4.5460623077951601</v>
      </c>
      <c r="I101">
        <v>0.40112314480545519</v>
      </c>
      <c r="J101">
        <v>0.54320480000000004</v>
      </c>
      <c r="K101">
        <v>0.32900000000000001</v>
      </c>
      <c r="L101">
        <v>18.3</v>
      </c>
      <c r="M101">
        <v>0.150962695547533</v>
      </c>
      <c r="N101">
        <v>24</v>
      </c>
      <c r="O101">
        <v>1</v>
      </c>
      <c r="P101">
        <v>29.001127512904489</v>
      </c>
      <c r="Q101">
        <v>41.517092250662166</v>
      </c>
      <c r="R101">
        <v>19.416242690705459</v>
      </c>
      <c r="S101">
        <v>8.9725254605446647</v>
      </c>
      <c r="T101">
        <v>1.093012085183219</v>
      </c>
      <c r="U101" t="s">
        <v>51</v>
      </c>
      <c r="V101">
        <v>840.70841273879455</v>
      </c>
      <c r="W101">
        <v>31.298771573562831</v>
      </c>
      <c r="AK101" t="s">
        <v>133</v>
      </c>
      <c r="AL101">
        <f t="shared" si="3"/>
        <v>12.734425590355704</v>
      </c>
      <c r="AM101">
        <f t="shared" si="4"/>
        <v>3.4134007585335011E-2</v>
      </c>
      <c r="AN101">
        <f t="shared" si="5"/>
        <v>3.9190897597977239E-2</v>
      </c>
    </row>
    <row r="102" spans="1:40" x14ac:dyDescent="0.2">
      <c r="A102" t="s">
        <v>51</v>
      </c>
      <c r="B102">
        <v>2021</v>
      </c>
      <c r="C102">
        <v>212.33226837060701</v>
      </c>
      <c r="D102">
        <v>108.5623003194888</v>
      </c>
      <c r="E102">
        <v>8.5623003194888181</v>
      </c>
      <c r="F102">
        <v>5.6230031948881782</v>
      </c>
      <c r="G102">
        <v>6.2619808306709261</v>
      </c>
      <c r="H102">
        <v>3.0031948881789141</v>
      </c>
      <c r="I102">
        <v>0.19169329073482419</v>
      </c>
      <c r="J102">
        <v>0.52396480000000001</v>
      </c>
      <c r="K102">
        <v>0.33400000000000002</v>
      </c>
      <c r="L102">
        <v>21.8</v>
      </c>
      <c r="M102">
        <v>0.15540713260403621</v>
      </c>
      <c r="N102">
        <v>26</v>
      </c>
      <c r="O102">
        <v>1</v>
      </c>
      <c r="P102">
        <v>28.661470231960909</v>
      </c>
      <c r="Q102">
        <v>42.565050863628812</v>
      </c>
      <c r="R102">
        <v>17.032452124049989</v>
      </c>
      <c r="S102">
        <v>10.98991934624669</v>
      </c>
      <c r="T102">
        <v>0.75110743411357817</v>
      </c>
      <c r="U102" t="s">
        <v>51</v>
      </c>
      <c r="V102">
        <v>831.89195127993321</v>
      </c>
      <c r="W102">
        <v>30.780104174539041</v>
      </c>
      <c r="AK102" t="s">
        <v>133</v>
      </c>
      <c r="AL102">
        <f t="shared" si="3"/>
        <v>12.725383919238125</v>
      </c>
      <c r="AM102">
        <f t="shared" si="4"/>
        <v>3.0394222088474272E-2</v>
      </c>
      <c r="AN102">
        <f t="shared" si="5"/>
        <v>4.0325007523322305E-2</v>
      </c>
    </row>
    <row r="103" spans="1:40" x14ac:dyDescent="0.2">
      <c r="A103" t="s">
        <v>51</v>
      </c>
      <c r="B103">
        <v>2018</v>
      </c>
      <c r="C103">
        <v>226.09157233325519</v>
      </c>
      <c r="D103">
        <v>103.6947424296666</v>
      </c>
      <c r="E103">
        <v>6.3574752799140821</v>
      </c>
      <c r="F103">
        <v>4.4440603898428526</v>
      </c>
      <c r="G103">
        <v>5.9254138531238043</v>
      </c>
      <c r="H103">
        <v>2.407199377831545</v>
      </c>
      <c r="I103">
        <v>0.1234461219400792</v>
      </c>
      <c r="J103">
        <v>0.34569800000000001</v>
      </c>
      <c r="K103">
        <v>0.35199999999999998</v>
      </c>
      <c r="L103">
        <v>23.2</v>
      </c>
      <c r="M103">
        <v>0.17364140341173359</v>
      </c>
      <c r="N103">
        <v>29</v>
      </c>
      <c r="O103">
        <v>1</v>
      </c>
      <c r="P103">
        <v>22.099668068</v>
      </c>
      <c r="Q103">
        <v>44.527064228</v>
      </c>
      <c r="R103">
        <v>18.516879285000002</v>
      </c>
      <c r="S103">
        <v>13.233273879</v>
      </c>
      <c r="T103">
        <v>1.6231145400000031</v>
      </c>
      <c r="U103" t="s">
        <v>51</v>
      </c>
      <c r="V103">
        <v>2648.8407117992979</v>
      </c>
      <c r="W103">
        <v>29.810650115045991</v>
      </c>
      <c r="AK103" t="s">
        <v>133</v>
      </c>
      <c r="AL103">
        <f t="shared" si="3"/>
        <v>12.396244511899999</v>
      </c>
      <c r="AM103">
        <f t="shared" si="4"/>
        <v>2.6754026754026747E-2</v>
      </c>
      <c r="AN103">
        <f t="shared" si="5"/>
        <v>2.8119028119028118E-2</v>
      </c>
    </row>
    <row r="104" spans="1:40" x14ac:dyDescent="0.2">
      <c r="A104" t="s">
        <v>51</v>
      </c>
      <c r="B104">
        <v>2019</v>
      </c>
      <c r="C104">
        <v>222.30838018172381</v>
      </c>
      <c r="D104">
        <v>85.609049920894478</v>
      </c>
      <c r="E104">
        <v>7.0038083207744224</v>
      </c>
      <c r="F104">
        <v>3.9396421804356119</v>
      </c>
      <c r="G104">
        <v>5.8156622663573323</v>
      </c>
      <c r="H104">
        <v>3.6895061689793831</v>
      </c>
      <c r="I104">
        <v>0.50027202291245865</v>
      </c>
      <c r="J104">
        <v>0.3651451</v>
      </c>
      <c r="K104">
        <v>0.34399999999999997</v>
      </c>
      <c r="L104">
        <v>23.4</v>
      </c>
      <c r="M104">
        <v>0.1654208292106859</v>
      </c>
      <c r="N104">
        <v>16</v>
      </c>
      <c r="O104">
        <v>1</v>
      </c>
      <c r="P104">
        <v>25.99868095303513</v>
      </c>
      <c r="Q104">
        <v>44.059190851133039</v>
      </c>
      <c r="R104">
        <v>17.120194579522469</v>
      </c>
      <c r="S104">
        <v>11.15769443054946</v>
      </c>
      <c r="T104">
        <v>1.664239185759911</v>
      </c>
      <c r="U104" t="s">
        <v>51</v>
      </c>
      <c r="V104">
        <v>2607.535992429267</v>
      </c>
      <c r="W104">
        <v>29.253850219401748</v>
      </c>
      <c r="AK104" t="s">
        <v>133</v>
      </c>
      <c r="AL104">
        <f t="shared" si="3"/>
        <v>12.581480423529884</v>
      </c>
      <c r="AM104">
        <f t="shared" si="4"/>
        <v>2.8410689170182843E-2</v>
      </c>
      <c r="AN104">
        <f t="shared" si="5"/>
        <v>3.1504922644163158E-2</v>
      </c>
    </row>
    <row r="105" spans="1:40" x14ac:dyDescent="0.2">
      <c r="A105" t="s">
        <v>51</v>
      </c>
      <c r="B105">
        <v>2020</v>
      </c>
      <c r="C105">
        <v>233.2838507943527</v>
      </c>
      <c r="D105">
        <v>97.027889201225477</v>
      </c>
      <c r="E105">
        <v>7.0749502542560254</v>
      </c>
      <c r="F105">
        <v>3.663813524525442</v>
      </c>
      <c r="G105">
        <v>4.6745207037048733</v>
      </c>
      <c r="H105">
        <v>2.968952338839582</v>
      </c>
      <c r="I105">
        <v>0.252676794794858</v>
      </c>
      <c r="J105">
        <v>0.41119919999999999</v>
      </c>
      <c r="K105">
        <v>0.33200000000000002</v>
      </c>
      <c r="L105">
        <v>23</v>
      </c>
      <c r="M105">
        <v>0.16016650076916111</v>
      </c>
      <c r="N105">
        <v>24</v>
      </c>
      <c r="O105">
        <v>1</v>
      </c>
      <c r="P105">
        <v>28.704963706000001</v>
      </c>
      <c r="Q105">
        <v>42.430257830000002</v>
      </c>
      <c r="R105">
        <v>18.018236144999999</v>
      </c>
      <c r="S105">
        <v>8.6723720390000008</v>
      </c>
      <c r="T105">
        <v>2.174170279999998</v>
      </c>
      <c r="U105" t="s">
        <v>51</v>
      </c>
      <c r="V105">
        <v>2724.2488979596451</v>
      </c>
      <c r="W105">
        <v>29.390125847883759</v>
      </c>
      <c r="AK105" t="s">
        <v>133</v>
      </c>
      <c r="AL105">
        <f t="shared" si="3"/>
        <v>12.671164344460003</v>
      </c>
      <c r="AM105">
        <f t="shared" si="4"/>
        <v>2.1121039805036549E-2</v>
      </c>
      <c r="AN105">
        <f t="shared" si="5"/>
        <v>3.0327646899539668E-2</v>
      </c>
    </row>
    <row r="106" spans="1:40" x14ac:dyDescent="0.2">
      <c r="A106" t="s">
        <v>51</v>
      </c>
      <c r="B106">
        <v>2017</v>
      </c>
      <c r="C106">
        <v>219.9528672427337</v>
      </c>
      <c r="D106">
        <v>114.29998112253909</v>
      </c>
      <c r="E106">
        <v>5.2369730295888983</v>
      </c>
      <c r="F106">
        <v>5.054287923905564</v>
      </c>
      <c r="G106">
        <v>4.0190723250333402</v>
      </c>
      <c r="H106">
        <v>2.314011338655559</v>
      </c>
      <c r="I106">
        <v>0</v>
      </c>
      <c r="J106">
        <v>0.34464549999999999</v>
      </c>
      <c r="K106">
        <v>0.35</v>
      </c>
      <c r="L106">
        <v>23.9</v>
      </c>
      <c r="M106">
        <v>0.1828109338843997</v>
      </c>
      <c r="N106">
        <v>28</v>
      </c>
      <c r="O106">
        <v>1</v>
      </c>
      <c r="P106">
        <v>23.513544231000001</v>
      </c>
      <c r="Q106">
        <v>42.051970482000002</v>
      </c>
      <c r="R106">
        <v>22.348879164</v>
      </c>
      <c r="S106">
        <v>10.626833573000001</v>
      </c>
      <c r="T106">
        <v>1.4587725500000059</v>
      </c>
      <c r="U106" t="s">
        <v>51</v>
      </c>
      <c r="V106">
        <v>2745.7673459756302</v>
      </c>
      <c r="W106">
        <v>31.204869070966371</v>
      </c>
      <c r="AK106" t="s">
        <v>133</v>
      </c>
      <c r="AL106">
        <f t="shared" si="3"/>
        <v>12.46693042892</v>
      </c>
      <c r="AM106">
        <f t="shared" si="4"/>
        <v>1.8272425249169437E-2</v>
      </c>
      <c r="AN106">
        <f t="shared" si="5"/>
        <v>2.3809523809523812E-2</v>
      </c>
    </row>
    <row r="107" spans="1:40" x14ac:dyDescent="0.2">
      <c r="A107" t="s">
        <v>52</v>
      </c>
      <c r="B107">
        <v>2016</v>
      </c>
      <c r="C107">
        <v>273.84738119245219</v>
      </c>
      <c r="D107">
        <v>133.74736383345709</v>
      </c>
      <c r="E107">
        <v>6.3803540496319524</v>
      </c>
      <c r="F107">
        <v>5.5401048187831714</v>
      </c>
      <c r="G107">
        <v>10.526199155688021</v>
      </c>
      <c r="H107">
        <v>6.5927247343519744</v>
      </c>
      <c r="I107">
        <v>0.19390366865741099</v>
      </c>
      <c r="J107">
        <v>0.26334649999999998</v>
      </c>
      <c r="K107">
        <v>0.371</v>
      </c>
      <c r="L107">
        <v>21.7</v>
      </c>
      <c r="M107">
        <v>0.20559830590199149</v>
      </c>
      <c r="N107">
        <v>130</v>
      </c>
      <c r="O107">
        <v>2</v>
      </c>
      <c r="P107">
        <v>22.990485245999999</v>
      </c>
      <c r="Q107">
        <v>39.077357689000003</v>
      </c>
      <c r="R107">
        <v>28.426152883</v>
      </c>
      <c r="S107">
        <v>8.6292136199999998</v>
      </c>
      <c r="T107">
        <v>0.8767905619999965</v>
      </c>
      <c r="U107" t="s">
        <v>52</v>
      </c>
      <c r="X107">
        <v>-1.18</v>
      </c>
      <c r="AA107">
        <v>-8.57</v>
      </c>
      <c r="AD107">
        <v>761.16</v>
      </c>
      <c r="AF107">
        <v>62.33</v>
      </c>
      <c r="AH107">
        <v>3.14</v>
      </c>
      <c r="AI107">
        <v>13.09</v>
      </c>
      <c r="AK107" t="s">
        <v>133</v>
      </c>
      <c r="AL107">
        <f t="shared" si="3"/>
        <v>12.46720695188</v>
      </c>
      <c r="AM107">
        <f t="shared" si="4"/>
        <v>3.9146267448917638E-2</v>
      </c>
      <c r="AN107">
        <f t="shared" si="5"/>
        <v>2.3298941263739967E-2</v>
      </c>
    </row>
    <row r="108" spans="1:40" x14ac:dyDescent="0.2">
      <c r="A108" t="s">
        <v>52</v>
      </c>
      <c r="B108">
        <v>2017</v>
      </c>
      <c r="C108">
        <v>250.16149466673721</v>
      </c>
      <c r="D108">
        <v>128.76940600546999</v>
      </c>
      <c r="E108">
        <v>5.8295635797783651</v>
      </c>
      <c r="F108">
        <v>4.5320454539135469</v>
      </c>
      <c r="G108">
        <v>8.6933714432942875</v>
      </c>
      <c r="H108">
        <v>5.6349358608986426</v>
      </c>
      <c r="I108">
        <v>6.4875906293240901E-2</v>
      </c>
      <c r="J108">
        <v>0.29171740000000002</v>
      </c>
      <c r="K108">
        <v>0.373</v>
      </c>
      <c r="L108">
        <v>21.5</v>
      </c>
      <c r="M108">
        <v>0.19679532888077031</v>
      </c>
      <c r="N108">
        <v>115</v>
      </c>
      <c r="O108">
        <v>2</v>
      </c>
      <c r="P108">
        <v>23.283721173</v>
      </c>
      <c r="Q108">
        <v>38.857707728000001</v>
      </c>
      <c r="R108">
        <v>26.549234040000002</v>
      </c>
      <c r="S108">
        <v>9.9915436619999998</v>
      </c>
      <c r="T108">
        <v>1.3177933970000031</v>
      </c>
      <c r="U108" t="s">
        <v>52</v>
      </c>
      <c r="V108">
        <v>2615.1801025208229</v>
      </c>
      <c r="W108">
        <v>33.783641886917778</v>
      </c>
      <c r="X108">
        <v>-1.02</v>
      </c>
      <c r="AA108">
        <v>-9.52</v>
      </c>
      <c r="AD108">
        <v>760.84</v>
      </c>
      <c r="AF108">
        <v>58.29</v>
      </c>
      <c r="AH108">
        <v>3.37</v>
      </c>
      <c r="AI108">
        <v>14.38</v>
      </c>
      <c r="AK108" t="s">
        <v>133</v>
      </c>
      <c r="AL108">
        <f t="shared" si="3"/>
        <v>12.416426590449998</v>
      </c>
      <c r="AM108">
        <f t="shared" si="4"/>
        <v>3.5010373443983382E-2</v>
      </c>
      <c r="AN108">
        <f t="shared" si="5"/>
        <v>2.3303200948429154E-2</v>
      </c>
    </row>
    <row r="109" spans="1:40" x14ac:dyDescent="0.2">
      <c r="A109" t="s">
        <v>52</v>
      </c>
      <c r="B109">
        <v>2021</v>
      </c>
      <c r="C109">
        <v>206.04944541213209</v>
      </c>
      <c r="D109">
        <v>107.1016673232177</v>
      </c>
      <c r="E109">
        <v>8.7613966976273989</v>
      </c>
      <c r="F109">
        <v>3.958290815721154</v>
      </c>
      <c r="G109">
        <v>6.3218745402165197</v>
      </c>
      <c r="H109">
        <v>3.588090955258024</v>
      </c>
      <c r="I109">
        <v>0.36070755634869028</v>
      </c>
      <c r="J109">
        <v>0.51272309999999999</v>
      </c>
      <c r="K109">
        <v>0.36399999999999999</v>
      </c>
      <c r="L109">
        <v>18.600000000000001</v>
      </c>
      <c r="M109">
        <v>0.16986163670766319</v>
      </c>
      <c r="N109">
        <v>126</v>
      </c>
      <c r="O109">
        <v>10</v>
      </c>
      <c r="P109">
        <v>22.486983177278368</v>
      </c>
      <c r="Q109">
        <v>39.126794917258543</v>
      </c>
      <c r="R109">
        <v>23.986536215900781</v>
      </c>
      <c r="S109">
        <v>13.34379893347884</v>
      </c>
      <c r="T109">
        <v>1.055886756083481</v>
      </c>
      <c r="U109" t="s">
        <v>52</v>
      </c>
      <c r="V109">
        <v>964.52455128130555</v>
      </c>
      <c r="W109">
        <v>35.592495115557661</v>
      </c>
      <c r="X109">
        <v>0.18</v>
      </c>
      <c r="AA109">
        <v>-6.92</v>
      </c>
      <c r="AD109">
        <v>759.53</v>
      </c>
      <c r="AF109">
        <v>63.31</v>
      </c>
      <c r="AH109">
        <v>2.78</v>
      </c>
      <c r="AI109">
        <v>13.15</v>
      </c>
      <c r="AK109" t="s">
        <v>133</v>
      </c>
      <c r="AL109">
        <f t="shared" si="3"/>
        <v>12.341227173840885</v>
      </c>
      <c r="AM109">
        <f t="shared" si="4"/>
        <v>3.2431934399041788E-2</v>
      </c>
      <c r="AN109">
        <f t="shared" si="5"/>
        <v>4.2520845810107344E-2</v>
      </c>
    </row>
    <row r="110" spans="1:40" x14ac:dyDescent="0.2">
      <c r="A110" t="s">
        <v>52</v>
      </c>
      <c r="B110">
        <v>2022</v>
      </c>
      <c r="C110">
        <v>208.05181305721021</v>
      </c>
      <c r="D110">
        <v>111.15220085555509</v>
      </c>
      <c r="E110">
        <v>10.544516851237359</v>
      </c>
      <c r="F110">
        <v>4.3577339783312681</v>
      </c>
      <c r="G110">
        <v>4.9974013512973254</v>
      </c>
      <c r="H110">
        <v>3.7180666053652089</v>
      </c>
      <c r="I110">
        <v>0.2098908567544876</v>
      </c>
      <c r="J110">
        <v>0.54917199999999999</v>
      </c>
      <c r="K110">
        <v>0.36599999999999999</v>
      </c>
      <c r="L110">
        <v>15.8</v>
      </c>
      <c r="M110">
        <v>0.16664634390117139</v>
      </c>
      <c r="N110">
        <v>332</v>
      </c>
      <c r="O110">
        <v>10</v>
      </c>
      <c r="P110">
        <v>23.21933147023266</v>
      </c>
      <c r="Q110">
        <v>39.29488072951029</v>
      </c>
      <c r="R110">
        <v>23.456132195720329</v>
      </c>
      <c r="S110">
        <v>13.23869486078301</v>
      </c>
      <c r="T110">
        <v>0.79096074375370051</v>
      </c>
      <c r="U110" t="s">
        <v>52</v>
      </c>
      <c r="V110">
        <v>1000.305825616422</v>
      </c>
      <c r="W110">
        <v>37.41013558966376</v>
      </c>
      <c r="X110">
        <v>-0.45</v>
      </c>
      <c r="AA110">
        <v>-8.1199999999999992</v>
      </c>
      <c r="AD110">
        <v>760.29</v>
      </c>
      <c r="AF110">
        <v>61.83</v>
      </c>
      <c r="AH110">
        <v>2.72</v>
      </c>
      <c r="AI110">
        <v>12.85</v>
      </c>
      <c r="AK110" t="s">
        <v>133</v>
      </c>
      <c r="AL110">
        <f t="shared" si="3"/>
        <v>12.394529724121094</v>
      </c>
      <c r="AM110">
        <f t="shared" si="4"/>
        <v>2.5028823981552657E-2</v>
      </c>
      <c r="AN110">
        <f t="shared" si="5"/>
        <v>5.0682167563412782E-2</v>
      </c>
    </row>
    <row r="111" spans="1:40" x14ac:dyDescent="0.2">
      <c r="A111" t="s">
        <v>52</v>
      </c>
      <c r="B111">
        <v>2020</v>
      </c>
      <c r="C111">
        <v>214.2398792110975</v>
      </c>
      <c r="D111">
        <v>111.61649523450031</v>
      </c>
      <c r="E111">
        <v>6.3602906482966874</v>
      </c>
      <c r="F111">
        <v>4.510710578465603</v>
      </c>
      <c r="G111">
        <v>4.8976125318486359</v>
      </c>
      <c r="H111">
        <v>2.6988770406718881</v>
      </c>
      <c r="I111">
        <v>0.37746532037369063</v>
      </c>
      <c r="J111">
        <v>0.41448380000000001</v>
      </c>
      <c r="K111">
        <v>0.35599999999999998</v>
      </c>
      <c r="L111">
        <v>20.2</v>
      </c>
      <c r="M111">
        <v>0.17405640268736591</v>
      </c>
      <c r="N111">
        <v>128</v>
      </c>
      <c r="O111">
        <v>10</v>
      </c>
      <c r="P111">
        <v>22.850781123000001</v>
      </c>
      <c r="Q111">
        <v>39.108013968999998</v>
      </c>
      <c r="R111">
        <v>25.022235575</v>
      </c>
      <c r="S111">
        <v>12.101309529</v>
      </c>
      <c r="T111">
        <v>0.91765980399999592</v>
      </c>
      <c r="U111" t="s">
        <v>52</v>
      </c>
      <c r="V111">
        <v>2950.72412642583</v>
      </c>
      <c r="W111">
        <v>36.619159865356757</v>
      </c>
      <c r="X111">
        <v>0.75</v>
      </c>
      <c r="AA111">
        <v>-6.52</v>
      </c>
      <c r="AD111">
        <v>760.55</v>
      </c>
      <c r="AF111">
        <v>63.53</v>
      </c>
      <c r="AH111">
        <v>2.85</v>
      </c>
      <c r="AI111">
        <v>13.85</v>
      </c>
      <c r="AK111" t="s">
        <v>133</v>
      </c>
      <c r="AL111">
        <f t="shared" si="3"/>
        <v>12.389929147439998</v>
      </c>
      <c r="AM111">
        <f t="shared" si="4"/>
        <v>2.4622296612782445E-2</v>
      </c>
      <c r="AN111">
        <f t="shared" si="5"/>
        <v>2.96877064705105E-2</v>
      </c>
    </row>
    <row r="112" spans="1:40" x14ac:dyDescent="0.2">
      <c r="A112" t="s">
        <v>52</v>
      </c>
      <c r="B112">
        <v>2019</v>
      </c>
      <c r="C112">
        <v>221.17969384069019</v>
      </c>
      <c r="D112">
        <v>120.54025905787751</v>
      </c>
      <c r="E112">
        <v>6.4365702275787333</v>
      </c>
      <c r="F112">
        <v>4.4192778093142611</v>
      </c>
      <c r="G112">
        <v>4.8790328255698849</v>
      </c>
      <c r="H112">
        <v>2.5333439671228248</v>
      </c>
      <c r="I112">
        <v>0.1032103097716706</v>
      </c>
      <c r="J112">
        <v>0.3586838</v>
      </c>
      <c r="K112">
        <v>0.36899999999999999</v>
      </c>
      <c r="L112">
        <v>20.8</v>
      </c>
      <c r="M112">
        <v>0.17991531146657239</v>
      </c>
      <c r="N112">
        <v>87</v>
      </c>
      <c r="O112">
        <v>10</v>
      </c>
      <c r="P112">
        <v>22.000536521750579</v>
      </c>
      <c r="Q112">
        <v>38.903812180213158</v>
      </c>
      <c r="R112">
        <v>25.56136680067204</v>
      </c>
      <c r="S112">
        <v>12.61218987146805</v>
      </c>
      <c r="T112">
        <v>0.92209462589617885</v>
      </c>
      <c r="U112" t="s">
        <v>52</v>
      </c>
      <c r="V112">
        <v>2873.009304562644</v>
      </c>
      <c r="W112">
        <v>34.284786896606157</v>
      </c>
      <c r="X112">
        <v>0.34</v>
      </c>
      <c r="AA112">
        <v>-7.73</v>
      </c>
      <c r="AD112">
        <v>760.46</v>
      </c>
      <c r="AF112">
        <v>59.92</v>
      </c>
      <c r="AH112">
        <v>2.93</v>
      </c>
      <c r="AI112">
        <v>13.72</v>
      </c>
      <c r="AK112" t="s">
        <v>133</v>
      </c>
      <c r="AL112">
        <f t="shared" si="3"/>
        <v>12.341307283232192</v>
      </c>
      <c r="AM112">
        <f t="shared" si="4"/>
        <v>2.2525771009205445E-2</v>
      </c>
      <c r="AN112">
        <f t="shared" si="5"/>
        <v>2.9101090230348282E-2</v>
      </c>
    </row>
    <row r="113" spans="1:40" x14ac:dyDescent="0.2">
      <c r="A113" t="s">
        <v>52</v>
      </c>
      <c r="B113">
        <v>2018</v>
      </c>
      <c r="C113">
        <v>226.89097562839879</v>
      </c>
      <c r="D113">
        <v>121.3732958242217</v>
      </c>
      <c r="E113">
        <v>6.012270624884648</v>
      </c>
      <c r="F113">
        <v>4.1480006636801061</v>
      </c>
      <c r="G113">
        <v>3.4768634776464711</v>
      </c>
      <c r="H113">
        <v>2.5167644476261319</v>
      </c>
      <c r="I113">
        <v>4.6606749030113498E-2</v>
      </c>
      <c r="J113">
        <v>0.32659919999999998</v>
      </c>
      <c r="K113">
        <v>0.374</v>
      </c>
      <c r="L113">
        <v>20.8</v>
      </c>
      <c r="M113">
        <v>0.18801171715163079</v>
      </c>
      <c r="N113">
        <v>129</v>
      </c>
      <c r="O113">
        <v>10</v>
      </c>
      <c r="P113">
        <v>23.680924619999999</v>
      </c>
      <c r="Q113">
        <v>38.179103431000001</v>
      </c>
      <c r="R113">
        <v>26.37131582</v>
      </c>
      <c r="S113">
        <v>10.688748164</v>
      </c>
      <c r="T113">
        <v>1.0799079649999901</v>
      </c>
      <c r="U113" t="s">
        <v>52</v>
      </c>
      <c r="V113">
        <v>2784.6914404655381</v>
      </c>
      <c r="W113">
        <v>33.190642768328097</v>
      </c>
      <c r="X113">
        <v>0.06</v>
      </c>
      <c r="AA113">
        <v>-7.56</v>
      </c>
      <c r="AD113">
        <v>759.91</v>
      </c>
      <c r="AF113">
        <v>61.3</v>
      </c>
      <c r="AH113">
        <v>3.15</v>
      </c>
      <c r="AI113">
        <v>13.56</v>
      </c>
      <c r="AK113" t="s">
        <v>133</v>
      </c>
      <c r="AL113">
        <f t="shared" si="3"/>
        <v>12.421450532589999</v>
      </c>
      <c r="AM113">
        <f t="shared" si="4"/>
        <v>1.5529353765252045E-2</v>
      </c>
      <c r="AN113">
        <f t="shared" si="5"/>
        <v>2.6498500472453883E-2</v>
      </c>
    </row>
    <row r="114" spans="1:40" x14ac:dyDescent="0.2">
      <c r="A114" t="s">
        <v>53</v>
      </c>
      <c r="B114">
        <v>2020</v>
      </c>
      <c r="C114">
        <v>137.91512683839201</v>
      </c>
      <c r="D114">
        <v>53.041965230385053</v>
      </c>
      <c r="E114">
        <v>7.5315779708865902</v>
      </c>
      <c r="F114">
        <v>2.577384205749472</v>
      </c>
      <c r="G114">
        <v>7.4312906477056764</v>
      </c>
      <c r="H114">
        <v>3.1289644832444958</v>
      </c>
      <c r="I114">
        <v>0.1303735201351873</v>
      </c>
      <c r="J114">
        <v>0.28482619999999997</v>
      </c>
      <c r="K114">
        <v>0.36</v>
      </c>
      <c r="L114">
        <v>13.1</v>
      </c>
      <c r="M114">
        <v>0.1389473507596897</v>
      </c>
      <c r="N114">
        <v>105</v>
      </c>
      <c r="O114">
        <v>6</v>
      </c>
      <c r="P114">
        <v>29.820601142000001</v>
      </c>
      <c r="Q114">
        <v>45.268584337999997</v>
      </c>
      <c r="R114">
        <v>20.708176642000002</v>
      </c>
      <c r="S114">
        <v>4.0546339920000003</v>
      </c>
      <c r="T114">
        <v>0.14800388599999789</v>
      </c>
      <c r="U114" t="s">
        <v>53</v>
      </c>
      <c r="V114">
        <v>2583.2155983778912</v>
      </c>
      <c r="W114">
        <v>33.398727481233578</v>
      </c>
      <c r="AK114" t="s">
        <v>136</v>
      </c>
      <c r="AL114">
        <f t="shared" si="3"/>
        <v>13.00674278058</v>
      </c>
      <c r="AM114">
        <f t="shared" si="4"/>
        <v>5.4828388598022096E-2</v>
      </c>
      <c r="AN114">
        <f t="shared" si="5"/>
        <v>5.4610238510762063E-2</v>
      </c>
    </row>
    <row r="115" spans="1:40" x14ac:dyDescent="0.2">
      <c r="A115" t="s">
        <v>53</v>
      </c>
      <c r="B115">
        <v>2019</v>
      </c>
      <c r="C115">
        <v>138.36164831006391</v>
      </c>
      <c r="D115">
        <v>52.699715190503703</v>
      </c>
      <c r="E115">
        <v>6.711944073771634</v>
      </c>
      <c r="F115">
        <v>2.4995518731701489</v>
      </c>
      <c r="G115">
        <v>7.1600709036228567</v>
      </c>
      <c r="H115">
        <v>2.3402178892230481</v>
      </c>
      <c r="I115">
        <v>4.97918699834691E-2</v>
      </c>
      <c r="J115">
        <v>0.26574229999999999</v>
      </c>
      <c r="K115">
        <v>0.36799999999999999</v>
      </c>
      <c r="L115">
        <v>13.6</v>
      </c>
      <c r="M115">
        <v>0.1444900834451287</v>
      </c>
      <c r="N115">
        <v>81</v>
      </c>
      <c r="O115">
        <v>6</v>
      </c>
      <c r="P115">
        <v>28.074731601666809</v>
      </c>
      <c r="Q115">
        <v>47.605708923202407</v>
      </c>
      <c r="R115">
        <v>19.407385413865661</v>
      </c>
      <c r="S115">
        <v>4.6332351423333424</v>
      </c>
      <c r="T115">
        <v>0.27893891893175748</v>
      </c>
      <c r="U115" t="s">
        <v>53</v>
      </c>
      <c r="V115">
        <v>2542.004030275371</v>
      </c>
      <c r="W115">
        <v>34.217559588760551</v>
      </c>
      <c r="AK115" t="s">
        <v>136</v>
      </c>
      <c r="AL115">
        <f t="shared" si="3"/>
        <v>12.962913015358829</v>
      </c>
      <c r="AM115">
        <f t="shared" si="4"/>
        <v>5.2108823952785384E-2</v>
      </c>
      <c r="AN115">
        <f t="shared" si="5"/>
        <v>4.851014826543832E-2</v>
      </c>
    </row>
    <row r="116" spans="1:40" x14ac:dyDescent="0.2">
      <c r="A116" t="s">
        <v>53</v>
      </c>
      <c r="B116">
        <v>2018</v>
      </c>
      <c r="C116">
        <v>138.3339608099771</v>
      </c>
      <c r="D116">
        <v>55.359209024625343</v>
      </c>
      <c r="E116">
        <v>7.8648119639756127</v>
      </c>
      <c r="F116">
        <v>2.1485325916625109</v>
      </c>
      <c r="G116">
        <v>6.8989578631365029</v>
      </c>
      <c r="H116">
        <v>2.7300161829840159</v>
      </c>
      <c r="I116">
        <v>6.8989578631364998E-2</v>
      </c>
      <c r="J116">
        <v>0.23896110000000001</v>
      </c>
      <c r="K116">
        <v>0.36399999999999999</v>
      </c>
      <c r="L116">
        <v>14.2</v>
      </c>
      <c r="M116">
        <v>0.15263139108575149</v>
      </c>
      <c r="N116">
        <v>102</v>
      </c>
      <c r="O116">
        <v>6</v>
      </c>
      <c r="P116">
        <v>28.730953381999999</v>
      </c>
      <c r="Q116">
        <v>47.240818188000013</v>
      </c>
      <c r="R116">
        <v>19.016995433000002</v>
      </c>
      <c r="S116">
        <v>4.8211870450000003</v>
      </c>
      <c r="T116">
        <v>0.1900459519999913</v>
      </c>
      <c r="U116" t="s">
        <v>53</v>
      </c>
      <c r="V116">
        <v>2403.1115567419288</v>
      </c>
      <c r="W116">
        <v>29.664925010216191</v>
      </c>
      <c r="AK116" t="s">
        <v>136</v>
      </c>
      <c r="AL116">
        <f t="shared" si="3"/>
        <v>12.984327541500001</v>
      </c>
      <c r="AM116">
        <f t="shared" si="4"/>
        <v>5.0370475919065252E-2</v>
      </c>
      <c r="AN116">
        <f t="shared" si="5"/>
        <v>5.6853804502707307E-2</v>
      </c>
    </row>
    <row r="117" spans="1:40" x14ac:dyDescent="0.2">
      <c r="A117" t="s">
        <v>53</v>
      </c>
      <c r="B117">
        <v>2017</v>
      </c>
      <c r="C117">
        <v>155.81965851227071</v>
      </c>
      <c r="D117">
        <v>55.46487875915048</v>
      </c>
      <c r="E117">
        <v>7.2519718130906892</v>
      </c>
      <c r="F117">
        <v>2.2576893380376668</v>
      </c>
      <c r="G117">
        <v>6.5189557942472902</v>
      </c>
      <c r="H117">
        <v>2.3945189948884349</v>
      </c>
      <c r="I117">
        <v>6.8414828425383795E-2</v>
      </c>
      <c r="J117">
        <v>0.21521889999999999</v>
      </c>
      <c r="K117">
        <v>0.36899999999999999</v>
      </c>
      <c r="L117">
        <v>13.9</v>
      </c>
      <c r="M117">
        <v>0.16110440312323909</v>
      </c>
      <c r="N117">
        <v>106</v>
      </c>
      <c r="O117">
        <v>6</v>
      </c>
      <c r="P117">
        <v>29.700653524</v>
      </c>
      <c r="Q117">
        <v>47.540630540999999</v>
      </c>
      <c r="R117">
        <v>18.165695182</v>
      </c>
      <c r="S117">
        <v>4.4773226250000002</v>
      </c>
      <c r="T117">
        <v>0.1156981279999911</v>
      </c>
      <c r="U117" t="s">
        <v>53</v>
      </c>
      <c r="V117">
        <v>2371.5885932209831</v>
      </c>
      <c r="W117">
        <v>28.984337991926061</v>
      </c>
      <c r="AK117" t="s">
        <v>136</v>
      </c>
      <c r="AL117">
        <f t="shared" si="3"/>
        <v>13.041193430319998</v>
      </c>
      <c r="AM117">
        <f t="shared" si="4"/>
        <v>4.2275606849400987E-2</v>
      </c>
      <c r="AN117">
        <f t="shared" si="5"/>
        <v>4.6540801605720376E-2</v>
      </c>
    </row>
    <row r="118" spans="1:40" x14ac:dyDescent="0.2">
      <c r="A118" t="s">
        <v>53</v>
      </c>
      <c r="B118">
        <v>2016</v>
      </c>
      <c r="C118">
        <v>139.8763689046238</v>
      </c>
      <c r="D118">
        <v>58.106226416193607</v>
      </c>
      <c r="E118">
        <v>6.0883362237555811</v>
      </c>
      <c r="F118">
        <v>2.6800331702656148</v>
      </c>
      <c r="G118">
        <v>6.4767468281419021</v>
      </c>
      <c r="H118">
        <v>2.2722020356599781</v>
      </c>
      <c r="I118">
        <v>0.15536424175452829</v>
      </c>
      <c r="J118">
        <v>0.20591100000000001</v>
      </c>
      <c r="K118">
        <v>0.36699999999999999</v>
      </c>
      <c r="L118">
        <v>14.5</v>
      </c>
      <c r="M118">
        <v>0.17105789336511279</v>
      </c>
      <c r="N118">
        <v>97</v>
      </c>
      <c r="O118">
        <v>6</v>
      </c>
      <c r="P118">
        <v>28.769161275999998</v>
      </c>
      <c r="Q118">
        <v>45.011061890000001</v>
      </c>
      <c r="R118">
        <v>21.090369034999998</v>
      </c>
      <c r="S118">
        <v>5.0510138700000002</v>
      </c>
      <c r="T118">
        <v>7.8393929000000639E-2</v>
      </c>
      <c r="U118" t="s">
        <v>53</v>
      </c>
      <c r="AK118" t="s">
        <v>136</v>
      </c>
      <c r="AL118">
        <f t="shared" si="3"/>
        <v>12.94447983641</v>
      </c>
      <c r="AM118">
        <f t="shared" si="4"/>
        <v>4.7414092329052422E-2</v>
      </c>
      <c r="AN118">
        <f t="shared" si="5"/>
        <v>4.3526553280111083E-2</v>
      </c>
    </row>
    <row r="119" spans="1:40" x14ac:dyDescent="0.2">
      <c r="A119" t="s">
        <v>53</v>
      </c>
      <c r="B119">
        <v>2021</v>
      </c>
      <c r="C119">
        <v>122.2250139813096</v>
      </c>
      <c r="D119">
        <v>49.046028902811663</v>
      </c>
      <c r="E119">
        <v>6.3321148655767994</v>
      </c>
      <c r="F119">
        <v>2.3910065732418002</v>
      </c>
      <c r="G119">
        <v>5.785020141190965</v>
      </c>
      <c r="H119">
        <v>2.4923204110910282</v>
      </c>
      <c r="I119">
        <v>0.30394151354768639</v>
      </c>
      <c r="J119">
        <v>0.33108009999999999</v>
      </c>
      <c r="K119">
        <v>0.36299999999999999</v>
      </c>
      <c r="L119">
        <v>12.2</v>
      </c>
      <c r="M119">
        <v>0.13431916926475579</v>
      </c>
      <c r="N119">
        <v>104</v>
      </c>
      <c r="O119">
        <v>6</v>
      </c>
      <c r="P119">
        <v>27.4884894988726</v>
      </c>
      <c r="Q119">
        <v>45.979441417712373</v>
      </c>
      <c r="R119">
        <v>21.684227344032049</v>
      </c>
      <c r="S119">
        <v>4.6796776737137469</v>
      </c>
      <c r="T119">
        <v>0.16816406566924511</v>
      </c>
      <c r="U119" t="s">
        <v>53</v>
      </c>
      <c r="V119">
        <v>966.63489031625716</v>
      </c>
      <c r="W119">
        <v>32.869876011866531</v>
      </c>
      <c r="AK119" t="s">
        <v>136</v>
      </c>
      <c r="AL119">
        <f t="shared" si="3"/>
        <v>12.91376337023803</v>
      </c>
      <c r="AM119">
        <f t="shared" si="4"/>
        <v>4.981763925729444E-2</v>
      </c>
      <c r="AN119">
        <f t="shared" si="5"/>
        <v>5.1807029177718837E-2</v>
      </c>
    </row>
    <row r="120" spans="1:40" x14ac:dyDescent="0.2">
      <c r="A120" t="s">
        <v>53</v>
      </c>
      <c r="B120">
        <v>2022</v>
      </c>
      <c r="C120">
        <v>127.5924831784823</v>
      </c>
      <c r="D120">
        <v>57.86082669454202</v>
      </c>
      <c r="E120">
        <v>7.5098959652164128</v>
      </c>
      <c r="F120">
        <v>3.2679950742008019</v>
      </c>
      <c r="G120">
        <v>5.7460443192073702</v>
      </c>
      <c r="H120">
        <v>3.116498613807388</v>
      </c>
      <c r="I120">
        <v>4.3284702969547E-2</v>
      </c>
      <c r="J120">
        <v>0.39591979999999999</v>
      </c>
      <c r="K120">
        <v>0.35499999999999998</v>
      </c>
      <c r="L120">
        <v>10.199999999999999</v>
      </c>
      <c r="M120">
        <v>0.13137448410044639</v>
      </c>
      <c r="N120">
        <v>100</v>
      </c>
      <c r="O120">
        <v>6</v>
      </c>
      <c r="P120">
        <v>24.145506537610991</v>
      </c>
      <c r="Q120">
        <v>49.636986517084402</v>
      </c>
      <c r="R120">
        <v>21.216501387649771</v>
      </c>
      <c r="S120">
        <v>4.9008731737899156</v>
      </c>
      <c r="T120">
        <v>0.1001323838649171</v>
      </c>
      <c r="U120" t="s">
        <v>53</v>
      </c>
      <c r="V120">
        <v>979.33206702078769</v>
      </c>
      <c r="W120">
        <v>33.783664491905498</v>
      </c>
      <c r="AK120" t="s">
        <v>136</v>
      </c>
      <c r="AL120">
        <f t="shared" si="3"/>
        <v>12.853533261499786</v>
      </c>
      <c r="AM120">
        <f t="shared" si="4"/>
        <v>4.5373590026291245E-2</v>
      </c>
      <c r="AN120">
        <f t="shared" si="5"/>
        <v>5.8858451361207709E-2</v>
      </c>
    </row>
    <row r="121" spans="1:40" x14ac:dyDescent="0.2">
      <c r="A121" t="s">
        <v>54</v>
      </c>
      <c r="B121">
        <v>2018</v>
      </c>
      <c r="C121">
        <v>187.05221498256171</v>
      </c>
      <c r="D121">
        <v>91.307069518071543</v>
      </c>
      <c r="E121">
        <v>6.4262674200719996</v>
      </c>
      <c r="F121">
        <v>3.1694600479578399</v>
      </c>
      <c r="G121">
        <v>8.3312709659574207</v>
      </c>
      <c r="H121">
        <v>3.248488579337367</v>
      </c>
      <c r="I121">
        <v>7.4869134991130001E-2</v>
      </c>
      <c r="J121">
        <v>0.60720830000000003</v>
      </c>
      <c r="K121">
        <v>0.36599999999999999</v>
      </c>
      <c r="L121">
        <v>17.600000000000001</v>
      </c>
      <c r="M121">
        <v>0.17370291181747849</v>
      </c>
      <c r="N121">
        <v>365</v>
      </c>
      <c r="O121">
        <v>19</v>
      </c>
      <c r="P121">
        <v>28.058148629000002</v>
      </c>
      <c r="Q121">
        <v>43.438165253000001</v>
      </c>
      <c r="R121">
        <v>20.683687487</v>
      </c>
      <c r="S121">
        <v>7.2532312140000004</v>
      </c>
      <c r="T121">
        <v>0.56676741699999411</v>
      </c>
      <c r="U121" t="s">
        <v>54</v>
      </c>
      <c r="V121">
        <v>2730.1800663739941</v>
      </c>
      <c r="W121">
        <v>32.87317961083118</v>
      </c>
      <c r="AK121" t="s">
        <v>132</v>
      </c>
      <c r="AL121">
        <f t="shared" ref="AL121:AL166" si="6">(15*P121+13*Q121+11*R121+9*S121+4*T121)/100</f>
        <v>12.806350906750001</v>
      </c>
      <c r="AM121">
        <f t="shared" ref="AM121:AM166" si="7">(G121+I121)/C121</f>
        <v>4.4940072491160984E-2</v>
      </c>
      <c r="AN121">
        <f t="shared" ref="AN121:AN166" si="8">E121/C121</f>
        <v>3.4355473527384321E-2</v>
      </c>
    </row>
    <row r="122" spans="1:40" x14ac:dyDescent="0.2">
      <c r="A122" t="s">
        <v>54</v>
      </c>
      <c r="B122">
        <v>2022</v>
      </c>
      <c r="C122">
        <v>160.21937449834931</v>
      </c>
      <c r="D122">
        <v>79.299430027413351</v>
      </c>
      <c r="E122">
        <v>7.4213637961841332</v>
      </c>
      <c r="F122">
        <v>3.8333840361133542</v>
      </c>
      <c r="G122">
        <v>6.8628575127768894</v>
      </c>
      <c r="H122">
        <v>2.7459892267522821</v>
      </c>
      <c r="I122">
        <v>0.29194646632651378</v>
      </c>
      <c r="J122">
        <v>1.0012346000000001</v>
      </c>
      <c r="K122">
        <v>0.36399999999999999</v>
      </c>
      <c r="L122">
        <v>13.9</v>
      </c>
      <c r="M122">
        <v>0.14760432537729851</v>
      </c>
      <c r="N122">
        <v>226</v>
      </c>
      <c r="O122">
        <v>17</v>
      </c>
      <c r="P122">
        <v>27.389437263378259</v>
      </c>
      <c r="Q122">
        <v>43.099620979216212</v>
      </c>
      <c r="R122">
        <v>20.366374005453761</v>
      </c>
      <c r="S122">
        <v>8.8408769115484649</v>
      </c>
      <c r="T122">
        <v>0.30369084040330557</v>
      </c>
      <c r="U122" t="s">
        <v>54</v>
      </c>
      <c r="V122">
        <v>955.38825856975438</v>
      </c>
      <c r="W122">
        <v>34.466392445783569</v>
      </c>
      <c r="AK122" t="s">
        <v>132</v>
      </c>
      <c r="AL122">
        <f t="shared" si="6"/>
        <v>12.759494013060255</v>
      </c>
      <c r="AM122">
        <f t="shared" si="7"/>
        <v>4.4656297039638713E-2</v>
      </c>
      <c r="AN122">
        <f t="shared" si="8"/>
        <v>4.632001478860219E-2</v>
      </c>
    </row>
    <row r="123" spans="1:40" x14ac:dyDescent="0.2">
      <c r="A123" t="s">
        <v>54</v>
      </c>
      <c r="B123">
        <v>2019</v>
      </c>
      <c r="C123">
        <v>191.5493733117076</v>
      </c>
      <c r="D123">
        <v>85.275317035086445</v>
      </c>
      <c r="E123">
        <v>5.7637055872494489</v>
      </c>
      <c r="F123">
        <v>3.140427139796552</v>
      </c>
      <c r="G123">
        <v>6.7854913100252192</v>
      </c>
      <c r="H123">
        <v>3.3572959462632461</v>
      </c>
      <c r="I123">
        <v>8.3411079410266903E-2</v>
      </c>
      <c r="J123">
        <v>0.64193750000000005</v>
      </c>
      <c r="K123">
        <v>0.36399999999999999</v>
      </c>
      <c r="L123">
        <v>17.899999999999999</v>
      </c>
      <c r="M123">
        <v>0.16456872789151319</v>
      </c>
      <c r="N123">
        <v>283</v>
      </c>
      <c r="O123">
        <v>17</v>
      </c>
      <c r="P123">
        <v>29.148650709707169</v>
      </c>
      <c r="Q123">
        <v>42.205018459448112</v>
      </c>
      <c r="R123">
        <v>20.389909008825221</v>
      </c>
      <c r="S123">
        <v>7.8674887153067479</v>
      </c>
      <c r="T123">
        <v>0.38893310671274151</v>
      </c>
      <c r="U123" t="s">
        <v>54</v>
      </c>
      <c r="V123">
        <v>2768.22355994804</v>
      </c>
      <c r="W123">
        <v>29.586972873422571</v>
      </c>
      <c r="AK123" t="s">
        <v>132</v>
      </c>
      <c r="AL123">
        <f t="shared" si="6"/>
        <v>12.825471305801221</v>
      </c>
      <c r="AM123">
        <f t="shared" si="7"/>
        <v>3.5859696488057653E-2</v>
      </c>
      <c r="AN123">
        <f t="shared" si="8"/>
        <v>3.0089921400422395E-2</v>
      </c>
    </row>
    <row r="124" spans="1:40" x14ac:dyDescent="0.2">
      <c r="A124" t="s">
        <v>54</v>
      </c>
      <c r="B124">
        <v>2020</v>
      </c>
      <c r="C124">
        <v>176.37221253156901</v>
      </c>
      <c r="D124">
        <v>80.729577244496781</v>
      </c>
      <c r="E124">
        <v>5.6749915209688213</v>
      </c>
      <c r="F124">
        <v>2.9859572188443182</v>
      </c>
      <c r="G124">
        <v>6.1601050187082347</v>
      </c>
      <c r="H124">
        <v>3.178329812775464</v>
      </c>
      <c r="I124">
        <v>0.12964240025794649</v>
      </c>
      <c r="J124">
        <v>0.62561869999999997</v>
      </c>
      <c r="K124">
        <v>0.35799999999999998</v>
      </c>
      <c r="L124">
        <v>17.600000000000001</v>
      </c>
      <c r="M124">
        <v>0.1576362964131402</v>
      </c>
      <c r="N124">
        <v>348</v>
      </c>
      <c r="O124">
        <v>16</v>
      </c>
      <c r="P124">
        <v>28.024546943000001</v>
      </c>
      <c r="Q124">
        <v>42.402863557000003</v>
      </c>
      <c r="R124">
        <v>21.197943692999999</v>
      </c>
      <c r="S124">
        <v>8.1304059720000001</v>
      </c>
      <c r="T124">
        <v>0.24423983499998769</v>
      </c>
      <c r="U124" t="s">
        <v>54</v>
      </c>
      <c r="V124">
        <v>2819.4685577742448</v>
      </c>
      <c r="W124">
        <v>34.532265819344858</v>
      </c>
      <c r="AK124" t="s">
        <v>132</v>
      </c>
      <c r="AL124">
        <f t="shared" si="6"/>
        <v>12.78933424097</v>
      </c>
      <c r="AM124">
        <f t="shared" si="7"/>
        <v>3.5661782140655372E-2</v>
      </c>
      <c r="AN124">
        <f t="shared" si="8"/>
        <v>3.2176222317067377E-2</v>
      </c>
    </row>
    <row r="125" spans="1:40" x14ac:dyDescent="0.2">
      <c r="A125" t="s">
        <v>54</v>
      </c>
      <c r="B125">
        <v>2016</v>
      </c>
      <c r="C125">
        <v>194.8317307692308</v>
      </c>
      <c r="D125">
        <v>97.654177718832884</v>
      </c>
      <c r="E125">
        <v>5.7775198938992043</v>
      </c>
      <c r="F125">
        <v>3.725961538461537</v>
      </c>
      <c r="G125">
        <v>6.0179045092838193</v>
      </c>
      <c r="H125">
        <v>2.7478448275862082</v>
      </c>
      <c r="I125">
        <v>0.31913129973474802</v>
      </c>
      <c r="J125">
        <v>0.47191179999999999</v>
      </c>
      <c r="K125">
        <v>0.372</v>
      </c>
      <c r="L125">
        <v>20</v>
      </c>
      <c r="M125">
        <v>0.1923520815998741</v>
      </c>
      <c r="N125">
        <v>369</v>
      </c>
      <c r="O125">
        <v>11</v>
      </c>
      <c r="P125">
        <v>28.002469529999999</v>
      </c>
      <c r="Q125">
        <v>43.294624274</v>
      </c>
      <c r="R125">
        <v>21.351962789000002</v>
      </c>
      <c r="S125">
        <v>7.0147415479999999</v>
      </c>
      <c r="T125">
        <v>0.3362018589999991</v>
      </c>
      <c r="U125" t="s">
        <v>54</v>
      </c>
      <c r="AK125" t="s">
        <v>132</v>
      </c>
      <c r="AL125">
        <f t="shared" si="6"/>
        <v>12.82216230559</v>
      </c>
      <c r="AM125">
        <f t="shared" si="7"/>
        <v>3.2525686570656673E-2</v>
      </c>
      <c r="AN125">
        <f t="shared" si="8"/>
        <v>2.9653896062456119E-2</v>
      </c>
    </row>
    <row r="126" spans="1:40" x14ac:dyDescent="0.2">
      <c r="A126" t="s">
        <v>54</v>
      </c>
      <c r="B126">
        <v>2021</v>
      </c>
      <c r="C126">
        <v>165.73748190015999</v>
      </c>
      <c r="D126">
        <v>79.296140960437825</v>
      </c>
      <c r="E126">
        <v>7.2251992719222278</v>
      </c>
      <c r="F126">
        <v>3.4357590943406402</v>
      </c>
      <c r="G126">
        <v>5.89468472068247</v>
      </c>
      <c r="H126">
        <v>2.53050394080726</v>
      </c>
      <c r="I126">
        <v>0.15578809618946521</v>
      </c>
      <c r="J126">
        <v>0.83153240000000006</v>
      </c>
      <c r="K126">
        <v>0.36499999999999999</v>
      </c>
      <c r="L126">
        <v>16.399999999999999</v>
      </c>
      <c r="M126">
        <v>0.15172220287731769</v>
      </c>
      <c r="N126">
        <v>344</v>
      </c>
      <c r="O126">
        <v>17</v>
      </c>
      <c r="P126">
        <v>27.926974525771641</v>
      </c>
      <c r="Q126">
        <v>42.023565958026509</v>
      </c>
      <c r="R126">
        <v>21.330568633480631</v>
      </c>
      <c r="S126">
        <v>8.280513607569258</v>
      </c>
      <c r="T126">
        <v>0.43837727515195007</v>
      </c>
      <c r="U126" t="s">
        <v>54</v>
      </c>
      <c r="V126">
        <v>932.82443631863589</v>
      </c>
      <c r="W126">
        <v>33.883821192010721</v>
      </c>
      <c r="AK126" t="s">
        <v>132</v>
      </c>
      <c r="AL126">
        <f t="shared" si="6"/>
        <v>12.761253618779374</v>
      </c>
      <c r="AM126">
        <f t="shared" si="7"/>
        <v>3.6506363844219201E-2</v>
      </c>
      <c r="AN126">
        <f t="shared" si="8"/>
        <v>4.3594238244036292E-2</v>
      </c>
    </row>
    <row r="127" spans="1:40" x14ac:dyDescent="0.2">
      <c r="A127" t="s">
        <v>54</v>
      </c>
      <c r="B127">
        <v>2017</v>
      </c>
      <c r="C127">
        <v>191.06638255370399</v>
      </c>
      <c r="D127">
        <v>97.359750359188695</v>
      </c>
      <c r="E127">
        <v>4.7490536140754642</v>
      </c>
      <c r="F127">
        <v>3.229688559222649</v>
      </c>
      <c r="G127">
        <v>5.8408377928358197</v>
      </c>
      <c r="H127">
        <v>3.1259067931807909</v>
      </c>
      <c r="I127">
        <v>4.9815247700092199E-2</v>
      </c>
      <c r="J127">
        <v>0.52620709999999993</v>
      </c>
      <c r="K127">
        <v>0.37</v>
      </c>
      <c r="L127">
        <v>18</v>
      </c>
      <c r="M127">
        <v>0.1828301674833637</v>
      </c>
      <c r="N127">
        <v>367</v>
      </c>
      <c r="O127">
        <v>10</v>
      </c>
      <c r="P127">
        <v>28.386569543</v>
      </c>
      <c r="Q127">
        <v>42.818679080999999</v>
      </c>
      <c r="R127">
        <v>20.623926845</v>
      </c>
      <c r="S127">
        <v>7.7665931060000002</v>
      </c>
      <c r="T127">
        <v>0.40423142499999187</v>
      </c>
      <c r="U127" t="s">
        <v>54</v>
      </c>
      <c r="V127">
        <v>2691.228579619838</v>
      </c>
      <c r="W127">
        <v>33.363983080088452</v>
      </c>
      <c r="AK127" t="s">
        <v>132</v>
      </c>
      <c r="AL127">
        <f t="shared" si="6"/>
        <v>12.80820830147</v>
      </c>
      <c r="AM127">
        <f t="shared" si="7"/>
        <v>3.083040020857775E-2</v>
      </c>
      <c r="AN127">
        <f t="shared" si="8"/>
        <v>2.4855516447225477E-2</v>
      </c>
    </row>
    <row r="128" spans="1:40" x14ac:dyDescent="0.2">
      <c r="A128" t="s">
        <v>55</v>
      </c>
      <c r="B128">
        <v>2016</v>
      </c>
      <c r="C128">
        <v>135.43088713171019</v>
      </c>
      <c r="D128">
        <v>61.97007698381568</v>
      </c>
      <c r="E128">
        <v>5.2333018242819067</v>
      </c>
      <c r="F128">
        <v>2.519358608167023</v>
      </c>
      <c r="G128">
        <v>7.7219365469834766</v>
      </c>
      <c r="H128">
        <v>1.945846079478595</v>
      </c>
      <c r="I128">
        <v>0.56327123353327757</v>
      </c>
      <c r="J128">
        <v>0.4243651</v>
      </c>
      <c r="K128">
        <v>0.36299999999999999</v>
      </c>
      <c r="L128">
        <v>14.1</v>
      </c>
      <c r="M128">
        <v>0.18807640623178351</v>
      </c>
      <c r="N128">
        <v>67</v>
      </c>
      <c r="O128">
        <v>4</v>
      </c>
      <c r="P128">
        <v>30.337523786999999</v>
      </c>
      <c r="Q128">
        <v>47.003636860999997</v>
      </c>
      <c r="R128">
        <v>15.917164939999999</v>
      </c>
      <c r="S128">
        <v>6.5701982540000001</v>
      </c>
      <c r="T128">
        <v>0.1714761580000044</v>
      </c>
      <c r="U128" t="s">
        <v>55</v>
      </c>
      <c r="AK128" t="s">
        <v>134</v>
      </c>
      <c r="AL128">
        <f t="shared" si="6"/>
        <v>13.010166392560002</v>
      </c>
      <c r="AM128">
        <f t="shared" si="7"/>
        <v>6.1176648517846349E-2</v>
      </c>
      <c r="AN128">
        <f t="shared" si="8"/>
        <v>3.8641863278886884E-2</v>
      </c>
    </row>
    <row r="129" spans="1:40" x14ac:dyDescent="0.2">
      <c r="A129" t="s">
        <v>55</v>
      </c>
      <c r="B129">
        <v>2017</v>
      </c>
      <c r="C129">
        <v>174.71034543594439</v>
      </c>
      <c r="D129">
        <v>56.323833143559369</v>
      </c>
      <c r="E129">
        <v>5.0595126442189242</v>
      </c>
      <c r="F129">
        <v>1.896049828595068</v>
      </c>
      <c r="G129">
        <v>7.3509953247669726</v>
      </c>
      <c r="H129">
        <v>1.8250747013214561</v>
      </c>
      <c r="I129">
        <v>0.3650149402642911</v>
      </c>
      <c r="J129">
        <v>0.45018269999999999</v>
      </c>
      <c r="K129">
        <v>0.35699999999999998</v>
      </c>
      <c r="L129">
        <v>13.8</v>
      </c>
      <c r="M129">
        <v>0.17950319361075401</v>
      </c>
      <c r="N129">
        <v>75</v>
      </c>
      <c r="O129">
        <v>4</v>
      </c>
      <c r="P129">
        <v>32.787272500999997</v>
      </c>
      <c r="Q129">
        <v>46.407518048</v>
      </c>
      <c r="R129">
        <v>15.122443726</v>
      </c>
      <c r="S129">
        <v>5.2483029539999997</v>
      </c>
      <c r="T129">
        <v>0.43446277099999969</v>
      </c>
      <c r="U129" t="s">
        <v>55</v>
      </c>
      <c r="V129">
        <v>2616.1832523385428</v>
      </c>
      <c r="W129">
        <v>35.576562913090648</v>
      </c>
      <c r="AK129" t="s">
        <v>134</v>
      </c>
      <c r="AL129">
        <f t="shared" si="6"/>
        <v>13.104262807949999</v>
      </c>
      <c r="AM129">
        <f t="shared" si="7"/>
        <v>4.4164587081423026E-2</v>
      </c>
      <c r="AN129">
        <f t="shared" si="8"/>
        <v>2.8959433579014579E-2</v>
      </c>
    </row>
    <row r="130" spans="1:40" x14ac:dyDescent="0.2">
      <c r="A130" t="s">
        <v>55</v>
      </c>
      <c r="B130">
        <v>2021</v>
      </c>
      <c r="C130">
        <v>130.26396393566219</v>
      </c>
      <c r="D130">
        <v>51.834631817039451</v>
      </c>
      <c r="E130">
        <v>5.3307206584568991</v>
      </c>
      <c r="F130">
        <v>2.3855711233978392</v>
      </c>
      <c r="G130">
        <v>6.469511812013069</v>
      </c>
      <c r="H130">
        <v>2.7586233978386532</v>
      </c>
      <c r="I130">
        <v>0.35341794420708722</v>
      </c>
      <c r="J130">
        <v>0.66627980000000009</v>
      </c>
      <c r="K130">
        <v>0.35199999999999998</v>
      </c>
      <c r="L130">
        <v>13.4</v>
      </c>
      <c r="M130">
        <v>0.1554558472740584</v>
      </c>
      <c r="N130">
        <v>71</v>
      </c>
      <c r="O130">
        <v>3</v>
      </c>
      <c r="P130">
        <v>30.011159061485731</v>
      </c>
      <c r="Q130">
        <v>45.117966721890568</v>
      </c>
      <c r="R130">
        <v>19.075638587843152</v>
      </c>
      <c r="S130">
        <v>5.5144493766626592</v>
      </c>
      <c r="T130">
        <v>0.28078625211790609</v>
      </c>
      <c r="U130" t="s">
        <v>55</v>
      </c>
      <c r="V130">
        <v>1050.048609001441</v>
      </c>
      <c r="W130">
        <v>37.514387628199621</v>
      </c>
      <c r="AK130" t="s">
        <v>134</v>
      </c>
      <c r="AL130">
        <f t="shared" si="6"/>
        <v>12.972861671715737</v>
      </c>
      <c r="AM130">
        <f t="shared" si="7"/>
        <v>5.2377722511116151E-2</v>
      </c>
      <c r="AN130">
        <f t="shared" si="8"/>
        <v>4.0922450825231757E-2</v>
      </c>
    </row>
    <row r="131" spans="1:40" x14ac:dyDescent="0.2">
      <c r="A131" t="s">
        <v>55</v>
      </c>
      <c r="B131">
        <v>2018</v>
      </c>
      <c r="C131">
        <v>138.08580141343401</v>
      </c>
      <c r="D131">
        <v>57.560886347161023</v>
      </c>
      <c r="E131">
        <v>4.5445450880203984</v>
      </c>
      <c r="F131">
        <v>1.7896659859903341</v>
      </c>
      <c r="G131">
        <v>6.1130164015849608</v>
      </c>
      <c r="H131">
        <v>1.809774592574495</v>
      </c>
      <c r="I131">
        <v>0.1608688526732884</v>
      </c>
      <c r="J131">
        <v>0.49305680000000002</v>
      </c>
      <c r="K131">
        <v>0.35699999999999998</v>
      </c>
      <c r="L131">
        <v>13.6</v>
      </c>
      <c r="M131">
        <v>0.17206630694709671</v>
      </c>
      <c r="N131">
        <v>83</v>
      </c>
      <c r="O131">
        <v>3</v>
      </c>
      <c r="P131">
        <v>31.011456684999999</v>
      </c>
      <c r="Q131">
        <v>48.291699172000001</v>
      </c>
      <c r="R131">
        <v>15.246222989</v>
      </c>
      <c r="S131">
        <v>5.0719972860000002</v>
      </c>
      <c r="T131">
        <v>0.37862386799999109</v>
      </c>
      <c r="U131" t="s">
        <v>55</v>
      </c>
      <c r="V131">
        <v>2549.0778631717649</v>
      </c>
      <c r="W131">
        <v>33.441807469506479</v>
      </c>
      <c r="AK131" t="s">
        <v>134</v>
      </c>
      <c r="AL131">
        <f t="shared" si="6"/>
        <v>13.078348634359998</v>
      </c>
      <c r="AM131">
        <f t="shared" si="7"/>
        <v>4.5434687636522482E-2</v>
      </c>
      <c r="AN131">
        <f t="shared" si="8"/>
        <v>3.29110237367118E-2</v>
      </c>
    </row>
    <row r="132" spans="1:40" x14ac:dyDescent="0.2">
      <c r="A132" t="s">
        <v>55</v>
      </c>
      <c r="B132">
        <v>2019</v>
      </c>
      <c r="C132">
        <v>148.78460806216799</v>
      </c>
      <c r="D132">
        <v>58.422230581717777</v>
      </c>
      <c r="E132">
        <v>5.7174958366053437</v>
      </c>
      <c r="F132">
        <v>1.915810123260429</v>
      </c>
      <c r="G132">
        <v>5.5378886375496794</v>
      </c>
      <c r="H132">
        <v>2.4945444313286842</v>
      </c>
      <c r="I132">
        <v>0.39912710901258941</v>
      </c>
      <c r="J132">
        <v>0.51585250000000005</v>
      </c>
      <c r="K132">
        <v>0.35799999999999998</v>
      </c>
      <c r="L132">
        <v>13.5</v>
      </c>
      <c r="M132">
        <v>0.16466944555336641</v>
      </c>
      <c r="N132">
        <v>67</v>
      </c>
      <c r="O132">
        <v>3</v>
      </c>
      <c r="P132">
        <v>30.55264307328159</v>
      </c>
      <c r="Q132">
        <v>48.367298953013467</v>
      </c>
      <c r="R132">
        <v>16.389115998057271</v>
      </c>
      <c r="S132">
        <v>4.3603134779428876</v>
      </c>
      <c r="T132">
        <v>0.33062849770477948</v>
      </c>
      <c r="U132" t="s">
        <v>55</v>
      </c>
      <c r="V132">
        <v>2589.1453425835821</v>
      </c>
      <c r="W132">
        <v>36.260042974082907</v>
      </c>
      <c r="AK132" t="s">
        <v>134</v>
      </c>
      <c r="AL132">
        <f t="shared" si="6"/>
        <v>13.079101437593341</v>
      </c>
      <c r="AM132">
        <f t="shared" si="7"/>
        <v>3.9903427000201205E-2</v>
      </c>
      <c r="AN132">
        <f t="shared" si="8"/>
        <v>3.8428006169941666E-2</v>
      </c>
    </row>
    <row r="133" spans="1:40" x14ac:dyDescent="0.2">
      <c r="A133" t="s">
        <v>55</v>
      </c>
      <c r="B133">
        <v>2022</v>
      </c>
      <c r="C133">
        <v>122.65041286000979</v>
      </c>
      <c r="D133">
        <v>46.140610041523651</v>
      </c>
      <c r="E133">
        <v>5.7227159816058331</v>
      </c>
      <c r="F133">
        <v>2.259987836803659</v>
      </c>
      <c r="G133">
        <v>5.3541342743159666</v>
      </c>
      <c r="H133">
        <v>2.7740623232868962</v>
      </c>
      <c r="I133">
        <v>0.51407448648323584</v>
      </c>
      <c r="J133">
        <v>0.71535859999999996</v>
      </c>
      <c r="K133">
        <v>0.34300000000000003</v>
      </c>
      <c r="L133">
        <v>10.8</v>
      </c>
      <c r="M133">
        <v>0.15111559013326159</v>
      </c>
      <c r="N133">
        <v>80</v>
      </c>
      <c r="O133">
        <v>3</v>
      </c>
      <c r="P133">
        <v>29.445679262561701</v>
      </c>
      <c r="Q133">
        <v>45.212640911758683</v>
      </c>
      <c r="R133">
        <v>19.8111985855261</v>
      </c>
      <c r="S133">
        <v>5.4559760217155953</v>
      </c>
      <c r="T133">
        <v>7.4505218437920462E-2</v>
      </c>
      <c r="U133" t="s">
        <v>55</v>
      </c>
      <c r="V133">
        <v>1072.7549727854059</v>
      </c>
      <c r="W133">
        <v>35.379647811876069</v>
      </c>
      <c r="AK133" t="s">
        <v>134</v>
      </c>
      <c r="AL133">
        <f t="shared" si="6"/>
        <v>12.967745103012673</v>
      </c>
      <c r="AM133">
        <f t="shared" si="7"/>
        <v>4.784499802293396E-2</v>
      </c>
      <c r="AN133">
        <f t="shared" si="8"/>
        <v>4.6658758402530628E-2</v>
      </c>
    </row>
    <row r="134" spans="1:40" x14ac:dyDescent="0.2">
      <c r="A134" t="s">
        <v>55</v>
      </c>
      <c r="B134">
        <v>2020</v>
      </c>
      <c r="C134">
        <v>134.0527322145318</v>
      </c>
      <c r="D134">
        <v>55.545020700989227</v>
      </c>
      <c r="E134">
        <v>6.6468348029455457</v>
      </c>
      <c r="F134">
        <v>2.2518251635536171</v>
      </c>
      <c r="G134">
        <v>4.8987073733447124</v>
      </c>
      <c r="H134">
        <v>2.320960146645175</v>
      </c>
      <c r="I134">
        <v>0.3654277677696659</v>
      </c>
      <c r="J134">
        <v>0.53935049999999995</v>
      </c>
      <c r="K134">
        <v>0.35199999999999998</v>
      </c>
      <c r="L134">
        <v>13.5</v>
      </c>
      <c r="M134">
        <v>0.1600194624387736</v>
      </c>
      <c r="N134">
        <v>81</v>
      </c>
      <c r="O134">
        <v>3</v>
      </c>
      <c r="P134">
        <v>32.682200332000001</v>
      </c>
      <c r="Q134">
        <v>42.833647368999998</v>
      </c>
      <c r="R134">
        <v>18.556867752999999</v>
      </c>
      <c r="S134">
        <v>5.443105697</v>
      </c>
      <c r="T134">
        <v>0.48417884900001701</v>
      </c>
      <c r="U134" t="s">
        <v>55</v>
      </c>
      <c r="V134">
        <v>2685.5441444180601</v>
      </c>
      <c r="W134">
        <v>38.47884328703821</v>
      </c>
      <c r="AK134" t="s">
        <v>134</v>
      </c>
      <c r="AL134">
        <f t="shared" si="6"/>
        <v>13.021206327290001</v>
      </c>
      <c r="AM134">
        <f t="shared" si="7"/>
        <v>3.9269137257791208E-2</v>
      </c>
      <c r="AN134">
        <f t="shared" si="8"/>
        <v>4.9583732409931476E-2</v>
      </c>
    </row>
    <row r="135" spans="1:40" x14ac:dyDescent="0.2">
      <c r="A135" t="s">
        <v>56</v>
      </c>
      <c r="B135">
        <v>2020</v>
      </c>
      <c r="C135">
        <v>105.740682685747</v>
      </c>
      <c r="D135">
        <v>65.945008943884048</v>
      </c>
      <c r="E135">
        <v>3.2456156527191249</v>
      </c>
      <c r="F135">
        <v>1.8072178066276949</v>
      </c>
      <c r="G135">
        <v>10.363840891069019</v>
      </c>
      <c r="H135">
        <v>5.8273553764729744</v>
      </c>
      <c r="I135">
        <v>0.55322994080439636</v>
      </c>
      <c r="J135">
        <v>0.34886309999999998</v>
      </c>
      <c r="K135">
        <v>0.33800000000000002</v>
      </c>
      <c r="L135">
        <v>22.7</v>
      </c>
      <c r="M135">
        <v>0.16148376278451679</v>
      </c>
      <c r="N135">
        <v>37</v>
      </c>
      <c r="O135">
        <v>1</v>
      </c>
      <c r="P135">
        <v>41.736548839999998</v>
      </c>
      <c r="Q135">
        <v>35.157468848000001</v>
      </c>
      <c r="R135">
        <v>18.678506832</v>
      </c>
      <c r="S135">
        <v>4.0236412770000003</v>
      </c>
      <c r="T135">
        <v>0.4038342030000166</v>
      </c>
      <c r="U135" t="s">
        <v>119</v>
      </c>
      <c r="V135">
        <v>2118.9731977253591</v>
      </c>
      <c r="W135">
        <v>37.643754483051303</v>
      </c>
      <c r="X135">
        <v>11.92</v>
      </c>
      <c r="AA135">
        <v>2.2000000000000002</v>
      </c>
      <c r="AD135">
        <v>763.29</v>
      </c>
      <c r="AF135">
        <v>60.97</v>
      </c>
      <c r="AH135">
        <v>5.88</v>
      </c>
      <c r="AI135">
        <v>15.77</v>
      </c>
      <c r="AK135" t="s">
        <v>131</v>
      </c>
      <c r="AL135">
        <f t="shared" si="6"/>
        <v>13.26387011081</v>
      </c>
      <c r="AM135">
        <f t="shared" si="7"/>
        <v>0.10324380885943485</v>
      </c>
      <c r="AN135">
        <f t="shared" si="8"/>
        <v>3.0694105336588753E-2</v>
      </c>
    </row>
    <row r="136" spans="1:40" x14ac:dyDescent="0.2">
      <c r="A136" t="s">
        <v>56</v>
      </c>
      <c r="B136">
        <v>2016</v>
      </c>
      <c r="C136">
        <v>105.87192761531639</v>
      </c>
      <c r="D136">
        <v>70.892215848141419</v>
      </c>
      <c r="E136">
        <v>2.2961041570248231</v>
      </c>
      <c r="F136">
        <v>2.0808443923037458</v>
      </c>
      <c r="G136">
        <v>9.0050334908317282</v>
      </c>
      <c r="H136">
        <v>4.6998381964101847</v>
      </c>
      <c r="I136">
        <v>0.89691568633782159</v>
      </c>
      <c r="J136">
        <v>0.25082270000000001</v>
      </c>
      <c r="K136">
        <v>0.36</v>
      </c>
      <c r="L136">
        <v>26.7</v>
      </c>
      <c r="M136">
        <v>0.1978971315030722</v>
      </c>
      <c r="N136">
        <v>26</v>
      </c>
      <c r="O136">
        <v>1</v>
      </c>
      <c r="P136">
        <v>38.522134037999997</v>
      </c>
      <c r="Q136">
        <v>38.212610869000002</v>
      </c>
      <c r="R136">
        <v>18.656199836999999</v>
      </c>
      <c r="S136">
        <v>4.3999178199999998</v>
      </c>
      <c r="T136">
        <v>0.20913743600000601</v>
      </c>
      <c r="U136" t="s">
        <v>119</v>
      </c>
      <c r="X136">
        <v>9.4700000000000006</v>
      </c>
      <c r="AA136">
        <v>2.97</v>
      </c>
      <c r="AD136">
        <v>763.06</v>
      </c>
      <c r="AF136">
        <v>70.83</v>
      </c>
      <c r="AH136">
        <v>5.25</v>
      </c>
      <c r="AI136">
        <v>15.78</v>
      </c>
      <c r="AK136" t="s">
        <v>131</v>
      </c>
      <c r="AL136">
        <f t="shared" si="6"/>
        <v>13.202499601979998</v>
      </c>
      <c r="AM136">
        <f t="shared" si="7"/>
        <v>9.3527617756692702E-2</v>
      </c>
      <c r="AN136">
        <f t="shared" si="8"/>
        <v>2.1687563537783814E-2</v>
      </c>
    </row>
    <row r="137" spans="1:40" x14ac:dyDescent="0.2">
      <c r="A137" t="s">
        <v>56</v>
      </c>
      <c r="B137">
        <v>2017</v>
      </c>
      <c r="C137">
        <v>108.99810297225009</v>
      </c>
      <c r="D137">
        <v>71.201534900631032</v>
      </c>
      <c r="E137">
        <v>2.6277613992649469</v>
      </c>
      <c r="F137">
        <v>2.2317973528003661</v>
      </c>
      <c r="G137">
        <v>8.8911926797046821</v>
      </c>
      <c r="H137">
        <v>5.8674672339751544</v>
      </c>
      <c r="I137">
        <v>0.53995097245170143</v>
      </c>
      <c r="J137">
        <v>0.29064640000000003</v>
      </c>
      <c r="K137">
        <v>0.34399999999999997</v>
      </c>
      <c r="L137">
        <v>24.3</v>
      </c>
      <c r="M137">
        <v>0.1881708779381383</v>
      </c>
      <c r="N137">
        <v>36</v>
      </c>
      <c r="O137">
        <v>1</v>
      </c>
      <c r="P137">
        <v>36.537330541000003</v>
      </c>
      <c r="Q137">
        <v>38.445796190999999</v>
      </c>
      <c r="R137">
        <v>22.229854849999999</v>
      </c>
      <c r="S137">
        <v>2.700430281</v>
      </c>
      <c r="T137">
        <v>8.6588137000006782E-2</v>
      </c>
      <c r="U137" t="s">
        <v>119</v>
      </c>
      <c r="V137">
        <v>2154.212907109466</v>
      </c>
      <c r="W137">
        <v>34.193874913048852</v>
      </c>
      <c r="X137">
        <v>7.45</v>
      </c>
      <c r="AA137">
        <v>1.96</v>
      </c>
      <c r="AD137">
        <v>763.91</v>
      </c>
      <c r="AF137">
        <v>74.56</v>
      </c>
      <c r="AH137">
        <v>5.57</v>
      </c>
      <c r="AI137">
        <v>17.059999999999999</v>
      </c>
      <c r="AK137" t="s">
        <v>131</v>
      </c>
      <c r="AL137">
        <f t="shared" si="6"/>
        <v>13.170339370250003</v>
      </c>
      <c r="AM137">
        <f t="shared" si="7"/>
        <v>8.6525759577278732E-2</v>
      </c>
      <c r="AN137">
        <f t="shared" si="8"/>
        <v>2.4108322324966982E-2</v>
      </c>
    </row>
    <row r="138" spans="1:40" x14ac:dyDescent="0.2">
      <c r="A138" t="s">
        <v>56</v>
      </c>
      <c r="B138">
        <v>2022</v>
      </c>
      <c r="C138">
        <v>101.07644727360081</v>
      </c>
      <c r="D138">
        <v>65.795399951957734</v>
      </c>
      <c r="E138">
        <v>4.1286331972135484</v>
      </c>
      <c r="F138">
        <v>2.739911121787173</v>
      </c>
      <c r="G138">
        <v>8.1822003362959403</v>
      </c>
      <c r="H138">
        <v>4.5414965169349033</v>
      </c>
      <c r="I138">
        <v>0.52546240691808788</v>
      </c>
      <c r="J138">
        <v>0.44813730000000002</v>
      </c>
      <c r="K138">
        <v>0.315</v>
      </c>
      <c r="L138">
        <v>20.6</v>
      </c>
      <c r="M138">
        <v>0.1526505825126111</v>
      </c>
      <c r="N138">
        <v>38</v>
      </c>
      <c r="O138">
        <v>1</v>
      </c>
      <c r="P138">
        <v>42.5167700206623</v>
      </c>
      <c r="Q138">
        <v>37.363680082017318</v>
      </c>
      <c r="R138">
        <v>14.85092470525908</v>
      </c>
      <c r="S138">
        <v>4.8597726195174866</v>
      </c>
      <c r="T138">
        <v>0.40885257254382168</v>
      </c>
      <c r="U138" t="s">
        <v>119</v>
      </c>
      <c r="V138">
        <v>650.82377698656182</v>
      </c>
      <c r="W138">
        <v>45.411420892669383</v>
      </c>
      <c r="X138">
        <v>11.56</v>
      </c>
      <c r="AA138">
        <v>2.66</v>
      </c>
      <c r="AD138">
        <v>762.14</v>
      </c>
      <c r="AF138">
        <v>62.8</v>
      </c>
      <c r="AH138">
        <v>5.77</v>
      </c>
      <c r="AI138">
        <v>17.22</v>
      </c>
      <c r="AK138" t="s">
        <v>131</v>
      </c>
      <c r="AL138">
        <f t="shared" si="6"/>
        <v>13.322129269998422</v>
      </c>
      <c r="AM138">
        <f t="shared" si="7"/>
        <v>8.61492759004827E-2</v>
      </c>
      <c r="AN138">
        <f t="shared" si="8"/>
        <v>4.0846639435573699E-2</v>
      </c>
    </row>
    <row r="139" spans="1:40" x14ac:dyDescent="0.2">
      <c r="A139" t="s">
        <v>56</v>
      </c>
      <c r="B139">
        <v>2019</v>
      </c>
      <c r="C139">
        <v>102.58686139953861</v>
      </c>
      <c r="D139">
        <v>68.146724519250171</v>
      </c>
      <c r="E139">
        <v>2.6774547308424448</v>
      </c>
      <c r="F139">
        <v>1.6138083309187341</v>
      </c>
      <c r="G139">
        <v>7.3354924132669712</v>
      </c>
      <c r="H139">
        <v>4.7680700686235324</v>
      </c>
      <c r="I139">
        <v>0.33009715859701372</v>
      </c>
      <c r="J139">
        <v>0.32844250000000003</v>
      </c>
      <c r="K139">
        <v>0.33800000000000002</v>
      </c>
      <c r="L139">
        <v>23.5</v>
      </c>
      <c r="M139">
        <v>0.16835651274653041</v>
      </c>
      <c r="N139">
        <v>24</v>
      </c>
      <c r="O139">
        <v>59</v>
      </c>
      <c r="P139">
        <v>39.576336872033963</v>
      </c>
      <c r="Q139">
        <v>35.086521771670647</v>
      </c>
      <c r="R139">
        <v>22.049927823849671</v>
      </c>
      <c r="S139">
        <v>3.0784276641428709</v>
      </c>
      <c r="T139">
        <v>0.2087858683028401</v>
      </c>
      <c r="U139" t="s">
        <v>119</v>
      </c>
      <c r="V139">
        <v>2311.036913416212</v>
      </c>
      <c r="W139">
        <v>36.228502266185082</v>
      </c>
      <c r="X139">
        <v>11.58</v>
      </c>
      <c r="AA139">
        <v>3.87</v>
      </c>
      <c r="AD139">
        <v>762.47</v>
      </c>
      <c r="AF139">
        <v>67.78</v>
      </c>
      <c r="AH139">
        <v>5.22</v>
      </c>
      <c r="AI139">
        <v>15.44</v>
      </c>
      <c r="AK139" t="s">
        <v>131</v>
      </c>
      <c r="AL139">
        <f t="shared" si="6"/>
        <v>13.208600346250716</v>
      </c>
      <c r="AM139">
        <f t="shared" si="7"/>
        <v>7.4722917411512324E-2</v>
      </c>
      <c r="AN139">
        <f t="shared" si="8"/>
        <v>2.6099392205934931E-2</v>
      </c>
    </row>
    <row r="140" spans="1:40" x14ac:dyDescent="0.2">
      <c r="A140" t="s">
        <v>56</v>
      </c>
      <c r="B140">
        <v>2018</v>
      </c>
      <c r="C140">
        <v>99.813734282695435</v>
      </c>
      <c r="D140">
        <v>69.568248412384307</v>
      </c>
      <c r="E140">
        <v>2.4690192547192762</v>
      </c>
      <c r="F140">
        <v>2.2511646145969868</v>
      </c>
      <c r="G140">
        <v>7.0802758039743949</v>
      </c>
      <c r="H140">
        <v>4.2118563756975886</v>
      </c>
      <c r="I140">
        <v>0.65356392036686728</v>
      </c>
      <c r="J140">
        <v>0.31528600000000001</v>
      </c>
      <c r="K140">
        <v>0.34100000000000003</v>
      </c>
      <c r="L140">
        <v>23.6</v>
      </c>
      <c r="M140">
        <v>0.17879443630826169</v>
      </c>
      <c r="N140">
        <v>30</v>
      </c>
      <c r="O140">
        <v>1</v>
      </c>
      <c r="P140">
        <v>40.961379719999996</v>
      </c>
      <c r="Q140">
        <v>37.713078930000002</v>
      </c>
      <c r="R140">
        <v>18.017308454999998</v>
      </c>
      <c r="S140">
        <v>2.9095546410000002</v>
      </c>
      <c r="T140">
        <v>0.39867825400000362</v>
      </c>
      <c r="U140" t="s">
        <v>119</v>
      </c>
      <c r="V140">
        <v>2309.1708298025478</v>
      </c>
      <c r="W140">
        <v>36.015303020190231</v>
      </c>
      <c r="X140">
        <v>10.99</v>
      </c>
      <c r="AA140">
        <v>2.61</v>
      </c>
      <c r="AD140">
        <v>763.21</v>
      </c>
      <c r="AF140">
        <v>66.010000000000005</v>
      </c>
      <c r="AH140">
        <v>5.37</v>
      </c>
      <c r="AI140">
        <v>14.32</v>
      </c>
      <c r="AK140" t="s">
        <v>131</v>
      </c>
      <c r="AL140">
        <f t="shared" si="6"/>
        <v>13.306618196800002</v>
      </c>
      <c r="AM140">
        <f t="shared" si="7"/>
        <v>7.7482720989450721E-2</v>
      </c>
      <c r="AN140">
        <f t="shared" si="8"/>
        <v>2.4736267733721357E-2</v>
      </c>
    </row>
    <row r="141" spans="1:40" x14ac:dyDescent="0.2">
      <c r="A141" t="s">
        <v>56</v>
      </c>
      <c r="B141">
        <v>2021</v>
      </c>
      <c r="C141">
        <v>108.8953419461894</v>
      </c>
      <c r="D141">
        <v>71.004207656750026</v>
      </c>
      <c r="E141">
        <v>3.963197819130023</v>
      </c>
      <c r="F141">
        <v>2.889060092449923</v>
      </c>
      <c r="G141">
        <v>6.4448263600805973</v>
      </c>
      <c r="H141">
        <v>5.1114140097190948</v>
      </c>
      <c r="I141">
        <v>0.3703923195448619</v>
      </c>
      <c r="J141">
        <v>0.38248840000000001</v>
      </c>
      <c r="K141">
        <v>0.33900000000000002</v>
      </c>
      <c r="L141">
        <v>22.6</v>
      </c>
      <c r="M141">
        <v>0.15629753320118561</v>
      </c>
      <c r="N141">
        <v>40</v>
      </c>
      <c r="O141">
        <v>1</v>
      </c>
      <c r="P141">
        <v>40.707911647665902</v>
      </c>
      <c r="Q141">
        <v>34.293012471458198</v>
      </c>
      <c r="R141">
        <v>20.90982644710158</v>
      </c>
      <c r="S141">
        <v>3.8113140553333822</v>
      </c>
      <c r="T141">
        <v>0.27793537844092953</v>
      </c>
      <c r="U141" t="s">
        <v>119</v>
      </c>
      <c r="V141">
        <v>667.05823375247292</v>
      </c>
      <c r="W141">
        <v>40.546317149612342</v>
      </c>
      <c r="X141">
        <v>11.42</v>
      </c>
      <c r="AA141">
        <v>3.47</v>
      </c>
      <c r="AD141">
        <v>762.39</v>
      </c>
      <c r="AF141">
        <v>66.180000000000007</v>
      </c>
      <c r="AH141">
        <v>5.4</v>
      </c>
      <c r="AI141">
        <v>16.18</v>
      </c>
      <c r="AK141" t="s">
        <v>131</v>
      </c>
      <c r="AL141">
        <f t="shared" si="6"/>
        <v>13.218494957738267</v>
      </c>
      <c r="AM141">
        <f t="shared" si="7"/>
        <v>6.2585034013605434E-2</v>
      </c>
      <c r="AN141">
        <f t="shared" si="8"/>
        <v>3.6394557823129253E-2</v>
      </c>
    </row>
    <row r="142" spans="1:40" x14ac:dyDescent="0.2">
      <c r="A142" t="s">
        <v>57</v>
      </c>
      <c r="B142">
        <v>2017</v>
      </c>
      <c r="C142">
        <v>173.84704850330681</v>
      </c>
      <c r="D142">
        <v>63.435741249987679</v>
      </c>
      <c r="E142">
        <v>10.02395103344274</v>
      </c>
      <c r="F142">
        <v>3.4595937195067861</v>
      </c>
      <c r="G142">
        <v>8.4469282553199871</v>
      </c>
      <c r="H142">
        <v>2.6809387228086781</v>
      </c>
      <c r="I142">
        <v>0.15770227781227511</v>
      </c>
      <c r="J142">
        <v>0.43572090000000002</v>
      </c>
      <c r="K142">
        <v>0.36</v>
      </c>
      <c r="L142">
        <v>10.4</v>
      </c>
      <c r="M142">
        <v>0.16955861713401879</v>
      </c>
      <c r="N142">
        <v>121</v>
      </c>
      <c r="O142">
        <v>3</v>
      </c>
      <c r="P142">
        <v>30.162061437999999</v>
      </c>
      <c r="Q142">
        <v>45.651839318</v>
      </c>
      <c r="R142">
        <v>20.05558984</v>
      </c>
      <c r="S142">
        <v>3.9363327560000001</v>
      </c>
      <c r="T142">
        <v>0.1941766480000098</v>
      </c>
      <c r="U142" t="s">
        <v>57</v>
      </c>
      <c r="V142">
        <v>2707.7633898764529</v>
      </c>
      <c r="W142">
        <v>34.30201658360911</v>
      </c>
      <c r="X142">
        <v>5.49</v>
      </c>
      <c r="AA142">
        <v>1.8</v>
      </c>
      <c r="AD142">
        <v>760.59</v>
      </c>
      <c r="AF142">
        <v>79.819999999999993</v>
      </c>
      <c r="AH142">
        <v>3.75</v>
      </c>
      <c r="AI142">
        <v>12.6</v>
      </c>
      <c r="AK142" t="s">
        <v>136</v>
      </c>
      <c r="AL142">
        <f t="shared" si="6"/>
        <v>13.0272002234</v>
      </c>
      <c r="AM142">
        <f t="shared" si="7"/>
        <v>4.9495407642589861E-2</v>
      </c>
      <c r="AN142">
        <f t="shared" si="8"/>
        <v>5.76595985939449E-2</v>
      </c>
    </row>
    <row r="143" spans="1:40" x14ac:dyDescent="0.2">
      <c r="A143" t="s">
        <v>57</v>
      </c>
      <c r="B143">
        <v>2018</v>
      </c>
      <c r="C143">
        <v>167.37538482210249</v>
      </c>
      <c r="D143">
        <v>60.978742407296899</v>
      </c>
      <c r="E143">
        <v>11.58912262536605</v>
      </c>
      <c r="F143">
        <v>3.3097664786851042</v>
      </c>
      <c r="G143">
        <v>8.1311576476353444</v>
      </c>
      <c r="H143">
        <v>2.6379332830117099</v>
      </c>
      <c r="I143">
        <v>0.2173577986002157</v>
      </c>
      <c r="J143">
        <v>0.48256159999999998</v>
      </c>
      <c r="K143">
        <v>0.35299999999999998</v>
      </c>
      <c r="L143">
        <v>10.8</v>
      </c>
      <c r="M143">
        <v>0.16126713906583759</v>
      </c>
      <c r="N143">
        <v>114</v>
      </c>
      <c r="O143">
        <v>3</v>
      </c>
      <c r="P143">
        <v>31.006891636999999</v>
      </c>
      <c r="Q143">
        <v>47.124176534</v>
      </c>
      <c r="R143">
        <v>18.283123336999999</v>
      </c>
      <c r="S143">
        <v>3.2959042840000001</v>
      </c>
      <c r="T143">
        <v>0.28990420800000999</v>
      </c>
      <c r="U143" t="s">
        <v>57</v>
      </c>
      <c r="V143">
        <v>2567.21044512968</v>
      </c>
      <c r="W143">
        <v>29.92996034048566</v>
      </c>
      <c r="X143">
        <v>6.71</v>
      </c>
      <c r="AA143">
        <v>1.92</v>
      </c>
      <c r="AD143">
        <v>763.01</v>
      </c>
      <c r="AF143">
        <v>75.23</v>
      </c>
      <c r="AH143">
        <v>3.47</v>
      </c>
      <c r="AI143">
        <v>12.22</v>
      </c>
      <c r="AK143" t="s">
        <v>136</v>
      </c>
      <c r="AL143">
        <f t="shared" si="6"/>
        <v>13.096547815919998</v>
      </c>
      <c r="AM143">
        <f t="shared" si="7"/>
        <v>4.9878991795053423E-2</v>
      </c>
      <c r="AN143">
        <f t="shared" si="8"/>
        <v>6.9240304586506124E-2</v>
      </c>
    </row>
    <row r="144" spans="1:40" x14ac:dyDescent="0.2">
      <c r="A144" t="s">
        <v>57</v>
      </c>
      <c r="B144">
        <v>2021</v>
      </c>
      <c r="C144">
        <v>159.4537353393674</v>
      </c>
      <c r="D144">
        <v>52.848208755419691</v>
      </c>
      <c r="E144">
        <v>13.926352174868629</v>
      </c>
      <c r="F144">
        <v>3.5565146156766372</v>
      </c>
      <c r="G144">
        <v>7.2528921656776353</v>
      </c>
      <c r="H144">
        <v>1.898139822973486</v>
      </c>
      <c r="I144">
        <v>7.9921676756778304E-2</v>
      </c>
      <c r="J144">
        <v>0.63041190000000003</v>
      </c>
      <c r="K144">
        <v>0.35299999999999998</v>
      </c>
      <c r="L144">
        <v>9.4</v>
      </c>
      <c r="M144">
        <v>0.14326393051574371</v>
      </c>
      <c r="N144">
        <v>109</v>
      </c>
      <c r="O144">
        <v>3</v>
      </c>
      <c r="P144">
        <v>30.318850847689891</v>
      </c>
      <c r="Q144">
        <v>47.41235355471472</v>
      </c>
      <c r="R144">
        <v>19.3946156272732</v>
      </c>
      <c r="S144">
        <v>2.7920867648458341</v>
      </c>
      <c r="T144">
        <v>8.2093205476354569E-2</v>
      </c>
      <c r="U144" t="s">
        <v>57</v>
      </c>
      <c r="V144">
        <v>926.10252270004753</v>
      </c>
      <c r="W144">
        <v>30.816985822423689</v>
      </c>
      <c r="X144">
        <v>6.82</v>
      </c>
      <c r="AA144">
        <v>2.86</v>
      </c>
      <c r="AD144">
        <v>760.85</v>
      </c>
      <c r="AF144">
        <v>78.86</v>
      </c>
      <c r="AH144">
        <v>3.13</v>
      </c>
      <c r="AI144">
        <v>12.49</v>
      </c>
      <c r="AK144" t="s">
        <v>136</v>
      </c>
      <c r="AL144">
        <f t="shared" si="6"/>
        <v>13.099412845321631</v>
      </c>
      <c r="AM144">
        <f t="shared" si="7"/>
        <v>4.5987093540504981E-2</v>
      </c>
      <c r="AN144">
        <f t="shared" si="8"/>
        <v>8.733788609736233E-2</v>
      </c>
    </row>
    <row r="145" spans="1:40" x14ac:dyDescent="0.2">
      <c r="A145" t="s">
        <v>57</v>
      </c>
      <c r="B145">
        <v>2019</v>
      </c>
      <c r="C145">
        <v>154.50078265866179</v>
      </c>
      <c r="D145">
        <v>55.251738691077691</v>
      </c>
      <c r="E145">
        <v>11.729972854623631</v>
      </c>
      <c r="F145">
        <v>3.3882185103727038</v>
      </c>
      <c r="G145">
        <v>7.2321623174622047</v>
      </c>
      <c r="H145">
        <v>2.496582060274624</v>
      </c>
      <c r="I145">
        <v>0.14860607501634659</v>
      </c>
      <c r="J145">
        <v>0.52219389999999999</v>
      </c>
      <c r="K145">
        <v>0.35599999999999998</v>
      </c>
      <c r="L145">
        <v>10.7</v>
      </c>
      <c r="M145">
        <v>0.15351520484990711</v>
      </c>
      <c r="N145">
        <v>85</v>
      </c>
      <c r="O145">
        <v>3</v>
      </c>
      <c r="P145">
        <v>29.84841083054804</v>
      </c>
      <c r="Q145">
        <v>47.848991301320758</v>
      </c>
      <c r="R145">
        <v>19.300114372850391</v>
      </c>
      <c r="S145">
        <v>2.866935613171496</v>
      </c>
      <c r="T145">
        <v>0.13554788210932139</v>
      </c>
      <c r="U145" t="s">
        <v>57</v>
      </c>
      <c r="V145">
        <v>2635.0287473268559</v>
      </c>
      <c r="W145">
        <v>32.733802910319937</v>
      </c>
      <c r="X145">
        <v>7.91</v>
      </c>
      <c r="AA145">
        <v>3.42</v>
      </c>
      <c r="AD145">
        <v>760.65</v>
      </c>
      <c r="AF145">
        <v>76.78</v>
      </c>
      <c r="AH145">
        <v>3.37</v>
      </c>
      <c r="AI145">
        <v>12.15</v>
      </c>
      <c r="AK145" t="s">
        <v>136</v>
      </c>
      <c r="AL145">
        <f t="shared" si="6"/>
        <v>13.084089195237254</v>
      </c>
      <c r="AM145">
        <f t="shared" si="7"/>
        <v>4.777172170567489E-2</v>
      </c>
      <c r="AN145">
        <f t="shared" si="8"/>
        <v>7.592176979801217E-2</v>
      </c>
    </row>
    <row r="146" spans="1:40" x14ac:dyDescent="0.2">
      <c r="A146" t="s">
        <v>57</v>
      </c>
      <c r="B146">
        <v>2020</v>
      </c>
      <c r="C146">
        <v>171.64800638356229</v>
      </c>
      <c r="D146">
        <v>54.330099992519258</v>
      </c>
      <c r="E146">
        <v>11.859461885644469</v>
      </c>
      <c r="F146">
        <v>3.4710620153105758</v>
      </c>
      <c r="G146">
        <v>6.8723038176695006</v>
      </c>
      <c r="H146">
        <v>2.1245293369573348</v>
      </c>
      <c r="I146">
        <v>6.9820212951649502E-2</v>
      </c>
      <c r="J146">
        <v>0.53305990000000003</v>
      </c>
      <c r="K146">
        <v>0.35099999999999998</v>
      </c>
      <c r="L146">
        <v>10.199999999999999</v>
      </c>
      <c r="M146">
        <v>0.14721231423110659</v>
      </c>
      <c r="N146">
        <v>112</v>
      </c>
      <c r="O146">
        <v>3</v>
      </c>
      <c r="P146">
        <v>31.433103292999999</v>
      </c>
      <c r="Q146">
        <v>46.183771501999999</v>
      </c>
      <c r="R146">
        <v>18.663682649999998</v>
      </c>
      <c r="S146">
        <v>3.5384320119999999</v>
      </c>
      <c r="T146">
        <v>0.1810105429999993</v>
      </c>
      <c r="U146" t="s">
        <v>57</v>
      </c>
      <c r="V146">
        <v>2619.6045499006432</v>
      </c>
      <c r="W146">
        <v>35.030799253679739</v>
      </c>
      <c r="X146">
        <v>8.26</v>
      </c>
      <c r="AA146">
        <v>3.59</v>
      </c>
      <c r="AD146">
        <v>761.47</v>
      </c>
      <c r="AF146">
        <v>75.849999999999994</v>
      </c>
      <c r="AH146">
        <v>3.51</v>
      </c>
      <c r="AI146">
        <v>12.31</v>
      </c>
      <c r="AK146" t="s">
        <v>136</v>
      </c>
      <c r="AL146">
        <f t="shared" si="6"/>
        <v>13.09756018351</v>
      </c>
      <c r="AM146">
        <f t="shared" si="7"/>
        <v>4.0443953745133362E-2</v>
      </c>
      <c r="AN146">
        <f t="shared" si="8"/>
        <v>6.9091754314602863E-2</v>
      </c>
    </row>
    <row r="147" spans="1:40" x14ac:dyDescent="0.2">
      <c r="A147" t="s">
        <v>57</v>
      </c>
      <c r="B147">
        <v>2016</v>
      </c>
      <c r="C147">
        <v>160.3629334146718</v>
      </c>
      <c r="D147">
        <v>63.014224993364827</v>
      </c>
      <c r="E147">
        <v>8.1800644105798135</v>
      </c>
      <c r="F147">
        <v>3.981096722824558</v>
      </c>
      <c r="G147">
        <v>6.3182579829902199</v>
      </c>
      <c r="H147">
        <v>3.109612863101769</v>
      </c>
      <c r="I147">
        <v>0.26738709332403748</v>
      </c>
      <c r="J147">
        <v>0.3928932</v>
      </c>
      <c r="K147">
        <v>0.373</v>
      </c>
      <c r="L147">
        <v>10.6</v>
      </c>
      <c r="M147">
        <v>0.1767515017556244</v>
      </c>
      <c r="N147">
        <v>118</v>
      </c>
      <c r="O147">
        <v>3</v>
      </c>
      <c r="P147">
        <v>29.083370823999999</v>
      </c>
      <c r="Q147">
        <v>48.954271695000003</v>
      </c>
      <c r="R147">
        <v>18.349727024</v>
      </c>
      <c r="S147">
        <v>3.5678197319999998</v>
      </c>
      <c r="T147">
        <v>4.4810724999990732E-2</v>
      </c>
      <c r="U147" t="s">
        <v>57</v>
      </c>
      <c r="X147">
        <v>5.79</v>
      </c>
      <c r="AA147">
        <v>2.19</v>
      </c>
      <c r="AD147">
        <v>761.39</v>
      </c>
      <c r="AF147">
        <v>80.11</v>
      </c>
      <c r="AH147">
        <v>3.59</v>
      </c>
      <c r="AI147">
        <v>12.62</v>
      </c>
      <c r="AK147" t="s">
        <v>136</v>
      </c>
      <c r="AL147">
        <f t="shared" si="6"/>
        <v>13.067927121469999</v>
      </c>
      <c r="AM147">
        <f t="shared" si="7"/>
        <v>4.1067127771259197E-2</v>
      </c>
      <c r="AN147">
        <f t="shared" si="8"/>
        <v>5.100969554745878E-2</v>
      </c>
    </row>
    <row r="148" spans="1:40" x14ac:dyDescent="0.2">
      <c r="A148" t="s">
        <v>57</v>
      </c>
      <c r="B148">
        <v>2022</v>
      </c>
      <c r="C148">
        <v>136.5569316432674</v>
      </c>
      <c r="D148">
        <v>42.683358614752173</v>
      </c>
      <c r="E148">
        <v>11.19028895357288</v>
      </c>
      <c r="F148">
        <v>3.7456254449094901</v>
      </c>
      <c r="G148">
        <v>6.2054391699246771</v>
      </c>
      <c r="H148">
        <v>1.7330505789879731</v>
      </c>
      <c r="I148">
        <v>0.1490796196978901</v>
      </c>
      <c r="J148">
        <v>0.64730719999999997</v>
      </c>
      <c r="K148">
        <v>0.33800000000000002</v>
      </c>
      <c r="L148">
        <v>7.5</v>
      </c>
      <c r="M148">
        <v>0.14192379795239141</v>
      </c>
      <c r="N148">
        <v>108</v>
      </c>
      <c r="O148">
        <v>4</v>
      </c>
      <c r="P148">
        <v>30.277226861451869</v>
      </c>
      <c r="Q148">
        <v>46.293038880922353</v>
      </c>
      <c r="R148">
        <v>19.274302466090841</v>
      </c>
      <c r="S148">
        <v>4.019608988974726</v>
      </c>
      <c r="T148">
        <v>0.13582280256021309</v>
      </c>
      <c r="U148" t="s">
        <v>57</v>
      </c>
      <c r="V148">
        <v>928.83893056237059</v>
      </c>
      <c r="W148">
        <v>35.558666817617947</v>
      </c>
      <c r="X148">
        <v>6.42</v>
      </c>
      <c r="AA148">
        <v>2.35</v>
      </c>
      <c r="AD148">
        <v>760.97</v>
      </c>
      <c r="AF148">
        <v>78.34</v>
      </c>
      <c r="AH148">
        <v>3.2</v>
      </c>
      <c r="AI148">
        <v>12.57</v>
      </c>
      <c r="AK148" t="s">
        <v>136</v>
      </c>
      <c r="AL148">
        <f t="shared" si="6"/>
        <v>13.047050076117811</v>
      </c>
      <c r="AM148">
        <f t="shared" si="7"/>
        <v>4.6533842794759812E-2</v>
      </c>
      <c r="AN148">
        <f t="shared" si="8"/>
        <v>8.1945960698689951E-2</v>
      </c>
    </row>
    <row r="149" spans="1:40" x14ac:dyDescent="0.2">
      <c r="A149" t="s">
        <v>58</v>
      </c>
      <c r="B149">
        <v>2021</v>
      </c>
      <c r="C149">
        <v>189.59338011403199</v>
      </c>
      <c r="D149">
        <v>98.887594772625917</v>
      </c>
      <c r="E149">
        <v>11.26202004062028</v>
      </c>
      <c r="F149">
        <v>6.1925067459820902</v>
      </c>
      <c r="G149">
        <v>9.9465134261888473</v>
      </c>
      <c r="H149">
        <v>6.5133620177946332</v>
      </c>
      <c r="I149">
        <v>0.48128290771881521</v>
      </c>
      <c r="J149">
        <v>1.1991058000000001</v>
      </c>
      <c r="K149">
        <v>0.38900000000000001</v>
      </c>
      <c r="L149">
        <v>13</v>
      </c>
      <c r="M149">
        <v>0.14814562219524499</v>
      </c>
      <c r="N149">
        <v>47</v>
      </c>
      <c r="O149">
        <v>2</v>
      </c>
      <c r="P149">
        <v>36.898082944690252</v>
      </c>
      <c r="Q149">
        <v>45.934203505822481</v>
      </c>
      <c r="R149">
        <v>11.629864290228729</v>
      </c>
      <c r="S149">
        <v>4.9351716992489907</v>
      </c>
      <c r="T149">
        <v>0.6026775600095533</v>
      </c>
      <c r="U149" t="s">
        <v>58</v>
      </c>
      <c r="V149">
        <v>974.55132207490237</v>
      </c>
      <c r="W149">
        <v>30.053418452966991</v>
      </c>
      <c r="AK149" t="s">
        <v>133</v>
      </c>
      <c r="AL149">
        <f t="shared" si="6"/>
        <v>13.253716524718412</v>
      </c>
      <c r="AM149">
        <f t="shared" si="7"/>
        <v>5.5000846166864091E-2</v>
      </c>
      <c r="AN149">
        <f t="shared" si="8"/>
        <v>5.9400913860213241E-2</v>
      </c>
    </row>
    <row r="150" spans="1:40" x14ac:dyDescent="0.2">
      <c r="A150" t="s">
        <v>58</v>
      </c>
      <c r="B150">
        <v>2018</v>
      </c>
      <c r="C150">
        <v>189.4427948041083</v>
      </c>
      <c r="D150">
        <v>106.00303590159621</v>
      </c>
      <c r="E150">
        <v>9.4119287482134766</v>
      </c>
      <c r="F150">
        <v>5.355609287703964</v>
      </c>
      <c r="G150">
        <v>9.4119287482134766</v>
      </c>
      <c r="H150">
        <v>5.640819249771039</v>
      </c>
      <c r="I150">
        <v>0.285209962067075</v>
      </c>
      <c r="J150">
        <v>0.87363859999999993</v>
      </c>
      <c r="K150">
        <v>0.38</v>
      </c>
      <c r="L150">
        <v>15.1</v>
      </c>
      <c r="M150">
        <v>0.1695897927478266</v>
      </c>
      <c r="N150">
        <v>42</v>
      </c>
      <c r="O150">
        <v>2</v>
      </c>
      <c r="P150">
        <v>38.371932225000002</v>
      </c>
      <c r="Q150">
        <v>40.155676053999997</v>
      </c>
      <c r="R150">
        <v>17.325513848</v>
      </c>
      <c r="S150">
        <v>3.6935333369999999</v>
      </c>
      <c r="T150">
        <v>0.45334453600000302</v>
      </c>
      <c r="U150" t="s">
        <v>58</v>
      </c>
      <c r="V150">
        <v>2230.4348546950241</v>
      </c>
      <c r="W150">
        <v>27.230514073993781</v>
      </c>
      <c r="AK150" t="s">
        <v>133</v>
      </c>
      <c r="AL150">
        <f t="shared" si="6"/>
        <v>13.232386025819997</v>
      </c>
      <c r="AM150">
        <f t="shared" si="7"/>
        <v>5.1187688190030105E-2</v>
      </c>
      <c r="AN150">
        <f t="shared" si="8"/>
        <v>4.9682167949146872E-2</v>
      </c>
    </row>
    <row r="151" spans="1:40" x14ac:dyDescent="0.2">
      <c r="A151" t="s">
        <v>58</v>
      </c>
      <c r="B151">
        <v>2016</v>
      </c>
      <c r="C151">
        <v>185.311721013805</v>
      </c>
      <c r="D151">
        <v>106.0686583406092</v>
      </c>
      <c r="E151">
        <v>10.56574168975945</v>
      </c>
      <c r="F151">
        <v>6.1053537309089068</v>
      </c>
      <c r="G151">
        <v>8.9207759177010963</v>
      </c>
      <c r="H151">
        <v>4.2073163016108008</v>
      </c>
      <c r="I151">
        <v>0.25307165723974739</v>
      </c>
      <c r="J151">
        <v>0.73432490000000006</v>
      </c>
      <c r="K151">
        <v>0.36599999999999999</v>
      </c>
      <c r="L151">
        <v>17.100000000000001</v>
      </c>
      <c r="M151">
        <v>0.18926054616452731</v>
      </c>
      <c r="N151">
        <v>51</v>
      </c>
      <c r="O151">
        <v>2</v>
      </c>
      <c r="P151">
        <v>39.38359019</v>
      </c>
      <c r="Q151">
        <v>41.467290908999999</v>
      </c>
      <c r="R151">
        <v>15.789204156</v>
      </c>
      <c r="S151">
        <v>3.1031973279999998</v>
      </c>
      <c r="T151">
        <v>0.2567174170000186</v>
      </c>
      <c r="U151" t="s">
        <v>58</v>
      </c>
      <c r="AK151" t="s">
        <v>133</v>
      </c>
      <c r="AL151">
        <f t="shared" si="6"/>
        <v>13.324655260030001</v>
      </c>
      <c r="AM151">
        <f t="shared" si="7"/>
        <v>4.9504950495049514E-2</v>
      </c>
      <c r="AN151">
        <f t="shared" si="8"/>
        <v>5.701604643222942E-2</v>
      </c>
    </row>
    <row r="152" spans="1:40" x14ac:dyDescent="0.2">
      <c r="A152" t="s">
        <v>58</v>
      </c>
      <c r="B152">
        <v>2022</v>
      </c>
      <c r="C152">
        <v>186.27765966900679</v>
      </c>
      <c r="D152">
        <v>97.547970769788165</v>
      </c>
      <c r="E152">
        <v>9.1942551286170335</v>
      </c>
      <c r="F152">
        <v>4.5800378707609024</v>
      </c>
      <c r="G152">
        <v>8.7841024834742658</v>
      </c>
      <c r="H152">
        <v>5.0927286771893607</v>
      </c>
      <c r="I152">
        <v>0.2734350967618448</v>
      </c>
      <c r="J152">
        <v>1.2289045000000001</v>
      </c>
      <c r="K152">
        <v>0.38700000000000001</v>
      </c>
      <c r="L152">
        <v>10.9</v>
      </c>
      <c r="M152">
        <v>0.14737809921592479</v>
      </c>
      <c r="N152">
        <v>45</v>
      </c>
      <c r="O152">
        <v>2</v>
      </c>
      <c r="P152">
        <v>36.762643320854202</v>
      </c>
      <c r="Q152">
        <v>44.156317315332323</v>
      </c>
      <c r="R152">
        <v>15.01042887346587</v>
      </c>
      <c r="S152">
        <v>3.877839370865825</v>
      </c>
      <c r="T152">
        <v>0.19277111948177611</v>
      </c>
      <c r="U152" t="s">
        <v>58</v>
      </c>
      <c r="V152">
        <v>1066.2930053685741</v>
      </c>
      <c r="W152">
        <v>31.96216325998483</v>
      </c>
      <c r="AK152" t="s">
        <v>133</v>
      </c>
      <c r="AL152">
        <f t="shared" si="6"/>
        <v>13.262581313359775</v>
      </c>
      <c r="AM152">
        <f t="shared" si="7"/>
        <v>4.862385321100917E-2</v>
      </c>
      <c r="AN152">
        <f t="shared" si="8"/>
        <v>4.935779816513762E-2</v>
      </c>
    </row>
    <row r="153" spans="1:40" x14ac:dyDescent="0.2">
      <c r="A153" t="s">
        <v>58</v>
      </c>
      <c r="B153">
        <v>2017</v>
      </c>
      <c r="C153">
        <v>194.9296061055702</v>
      </c>
      <c r="D153">
        <v>101.7383209046513</v>
      </c>
      <c r="E153">
        <v>10.29457088479295</v>
      </c>
      <c r="F153">
        <v>5.0519653416113544</v>
      </c>
      <c r="G153">
        <v>8.6741291714459106</v>
      </c>
      <c r="H153">
        <v>5.0201919746829811</v>
      </c>
      <c r="I153">
        <v>9.5320100785119793E-2</v>
      </c>
      <c r="J153">
        <v>0.75294249999999996</v>
      </c>
      <c r="K153">
        <v>0.36599999999999999</v>
      </c>
      <c r="L153">
        <v>16.2</v>
      </c>
      <c r="M153">
        <v>0.17847906515515399</v>
      </c>
      <c r="N153">
        <v>48</v>
      </c>
      <c r="O153">
        <v>2</v>
      </c>
      <c r="P153">
        <v>39.529686136999999</v>
      </c>
      <c r="Q153">
        <v>38.940173326</v>
      </c>
      <c r="R153">
        <v>17.920164863</v>
      </c>
      <c r="S153">
        <v>3.258837046</v>
      </c>
      <c r="T153">
        <v>0.35113862800000112</v>
      </c>
      <c r="U153" t="s">
        <v>58</v>
      </c>
      <c r="V153">
        <v>2378.7900884573041</v>
      </c>
      <c r="W153">
        <v>27.67847132835205</v>
      </c>
      <c r="AK153" t="s">
        <v>133</v>
      </c>
      <c r="AL153">
        <f t="shared" si="6"/>
        <v>13.270234467119998</v>
      </c>
      <c r="AM153">
        <f t="shared" si="7"/>
        <v>4.4987775061124689E-2</v>
      </c>
      <c r="AN153">
        <f t="shared" si="8"/>
        <v>5.2811735941320298E-2</v>
      </c>
    </row>
    <row r="154" spans="1:40" x14ac:dyDescent="0.2">
      <c r="A154" t="s">
        <v>58</v>
      </c>
      <c r="B154">
        <v>2019</v>
      </c>
      <c r="C154">
        <v>183.5900140758699</v>
      </c>
      <c r="D154">
        <v>98.817054997569301</v>
      </c>
      <c r="E154">
        <v>10.040575363097069</v>
      </c>
      <c r="F154">
        <v>4.6072260368641631</v>
      </c>
      <c r="G154">
        <v>7.9117191943391489</v>
      </c>
      <c r="H154">
        <v>6.3865685062737709</v>
      </c>
      <c r="I154">
        <v>0.34951369934831578</v>
      </c>
      <c r="J154">
        <v>0.93696030000000008</v>
      </c>
      <c r="K154">
        <v>0.38100000000000001</v>
      </c>
      <c r="L154">
        <v>14.2</v>
      </c>
      <c r="M154">
        <v>0.16161936137861119</v>
      </c>
      <c r="N154">
        <v>33</v>
      </c>
      <c r="O154">
        <v>2</v>
      </c>
      <c r="P154">
        <v>36.77379086752552</v>
      </c>
      <c r="Q154">
        <v>41.111975260105417</v>
      </c>
      <c r="R154">
        <v>17.486217367712221</v>
      </c>
      <c r="S154">
        <v>4.2928939448881973</v>
      </c>
      <c r="T154">
        <v>0.33512255976864941</v>
      </c>
      <c r="U154" t="s">
        <v>58</v>
      </c>
      <c r="V154">
        <v>2215.778207800387</v>
      </c>
      <c r="W154">
        <v>24.738677463987869</v>
      </c>
      <c r="AK154" t="s">
        <v>133</v>
      </c>
      <c r="AL154">
        <f t="shared" si="6"/>
        <v>13.183874681821557</v>
      </c>
      <c r="AM154">
        <f t="shared" si="7"/>
        <v>4.499826929733472E-2</v>
      </c>
      <c r="AN154">
        <f t="shared" si="8"/>
        <v>5.4690204222914485E-2</v>
      </c>
    </row>
    <row r="155" spans="1:40" x14ac:dyDescent="0.2">
      <c r="A155" t="s">
        <v>58</v>
      </c>
      <c r="B155">
        <v>2020</v>
      </c>
      <c r="C155">
        <v>187.977611368109</v>
      </c>
      <c r="D155">
        <v>101.3047256370281</v>
      </c>
      <c r="E155">
        <v>10.28701408234723</v>
      </c>
      <c r="F155">
        <v>4.9837707976589058</v>
      </c>
      <c r="G155">
        <v>7.6673396887060088</v>
      </c>
      <c r="H155">
        <v>6.7408694763206984</v>
      </c>
      <c r="I155">
        <v>0.28752523832647531</v>
      </c>
      <c r="J155">
        <v>1.005493</v>
      </c>
      <c r="K155">
        <v>0.38200000000000001</v>
      </c>
      <c r="L155">
        <v>13.8</v>
      </c>
      <c r="M155">
        <v>0.15328967125219739</v>
      </c>
      <c r="N155">
        <v>44</v>
      </c>
      <c r="O155">
        <v>2</v>
      </c>
      <c r="P155">
        <v>35.959365542</v>
      </c>
      <c r="Q155">
        <v>44.392196306000002</v>
      </c>
      <c r="R155">
        <v>14.969714728</v>
      </c>
      <c r="S155">
        <v>4.0849580369999998</v>
      </c>
      <c r="T155">
        <v>0.5937653869999906</v>
      </c>
      <c r="U155" t="s">
        <v>58</v>
      </c>
      <c r="V155">
        <v>2335.188360817825</v>
      </c>
      <c r="W155">
        <v>29.390674373487052</v>
      </c>
      <c r="AK155" t="s">
        <v>133</v>
      </c>
      <c r="AL155">
        <f t="shared" si="6"/>
        <v>13.20295580997</v>
      </c>
      <c r="AM155">
        <f t="shared" si="7"/>
        <v>4.2318150917743033E-2</v>
      </c>
      <c r="AN155">
        <f t="shared" si="8"/>
        <v>5.4724677090414689E-2</v>
      </c>
    </row>
    <row r="156" spans="1:40" x14ac:dyDescent="0.2">
      <c r="A156" t="s">
        <v>59</v>
      </c>
      <c r="B156">
        <v>2016</v>
      </c>
      <c r="C156">
        <v>213.75669775749159</v>
      </c>
      <c r="D156">
        <v>93.685255010914886</v>
      </c>
      <c r="E156">
        <v>10.28775550704505</v>
      </c>
      <c r="F156">
        <v>4.1278031355427673</v>
      </c>
      <c r="G156">
        <v>8.8430244096050803</v>
      </c>
      <c r="H156">
        <v>3.7785274856122251</v>
      </c>
      <c r="I156">
        <v>0.38102798174240921</v>
      </c>
      <c r="J156">
        <v>0.41985460000000002</v>
      </c>
      <c r="K156">
        <v>0.34699999999999998</v>
      </c>
      <c r="L156">
        <v>15.7</v>
      </c>
      <c r="M156">
        <v>0.16450564950431609</v>
      </c>
      <c r="N156">
        <v>86</v>
      </c>
      <c r="O156">
        <v>2</v>
      </c>
      <c r="P156">
        <v>26.191875384999999</v>
      </c>
      <c r="Q156">
        <v>53.487596766999999</v>
      </c>
      <c r="R156">
        <v>15.015759899000001</v>
      </c>
      <c r="S156">
        <v>4.9296044779999999</v>
      </c>
      <c r="T156">
        <v>0.37516347099999342</v>
      </c>
      <c r="U156" t="s">
        <v>120</v>
      </c>
      <c r="X156">
        <v>4.38</v>
      </c>
      <c r="AA156">
        <v>0.72</v>
      </c>
      <c r="AD156">
        <v>759.78</v>
      </c>
      <c r="AF156">
        <v>79.86</v>
      </c>
      <c r="AH156">
        <v>2.77</v>
      </c>
      <c r="AI156">
        <v>11.05</v>
      </c>
      <c r="AK156" t="s">
        <v>134</v>
      </c>
      <c r="AL156">
        <f t="shared" si="6"/>
        <v>12.99257341821</v>
      </c>
      <c r="AM156">
        <f t="shared" si="7"/>
        <v>4.3152109328579914E-2</v>
      </c>
      <c r="AN156">
        <f t="shared" si="8"/>
        <v>4.8128342245989303E-2</v>
      </c>
    </row>
    <row r="157" spans="1:40" x14ac:dyDescent="0.2">
      <c r="A157" t="s">
        <v>59</v>
      </c>
      <c r="B157">
        <v>2022</v>
      </c>
      <c r="C157">
        <v>222.5836989841919</v>
      </c>
      <c r="D157">
        <v>89.728466670673797</v>
      </c>
      <c r="E157">
        <v>9.4105006912303928</v>
      </c>
      <c r="F157">
        <v>4.6207248903047429</v>
      </c>
      <c r="G157">
        <v>8.0956602752900153</v>
      </c>
      <c r="H157">
        <v>3.36223477790467</v>
      </c>
      <c r="I157">
        <v>0.28175151770150869</v>
      </c>
      <c r="J157">
        <v>0.73832640000000005</v>
      </c>
      <c r="K157">
        <v>0.35</v>
      </c>
      <c r="L157">
        <v>11.1</v>
      </c>
      <c r="M157">
        <v>0.1208150507904069</v>
      </c>
      <c r="N157">
        <v>82</v>
      </c>
      <c r="O157">
        <v>2</v>
      </c>
      <c r="P157">
        <v>26.85360519543406</v>
      </c>
      <c r="Q157">
        <v>53.489934501811419</v>
      </c>
      <c r="R157">
        <v>12.99982603230006</v>
      </c>
      <c r="S157">
        <v>6.4622934639808411</v>
      </c>
      <c r="T157">
        <v>0.19434080647360469</v>
      </c>
      <c r="U157" t="s">
        <v>120</v>
      </c>
      <c r="V157">
        <v>987.91357987553647</v>
      </c>
      <c r="W157">
        <v>31.95366241827109</v>
      </c>
      <c r="X157">
        <v>5.36</v>
      </c>
      <c r="AA157">
        <v>1.24</v>
      </c>
      <c r="AD157">
        <v>759.39</v>
      </c>
      <c r="AF157">
        <v>77.709999999999994</v>
      </c>
      <c r="AH157">
        <v>3.12</v>
      </c>
      <c r="AI157">
        <v>11.92</v>
      </c>
      <c r="AK157" t="s">
        <v>134</v>
      </c>
      <c r="AL157">
        <f t="shared" si="6"/>
        <v>13.00109317212082</v>
      </c>
      <c r="AM157">
        <f t="shared" si="7"/>
        <v>3.7637130801687749E-2</v>
      </c>
      <c r="AN157">
        <f t="shared" si="8"/>
        <v>4.2278481012658235E-2</v>
      </c>
    </row>
    <row r="158" spans="1:40" x14ac:dyDescent="0.2">
      <c r="A158" t="s">
        <v>59</v>
      </c>
      <c r="B158">
        <v>2021</v>
      </c>
      <c r="C158">
        <v>224.44017199965199</v>
      </c>
      <c r="D158">
        <v>77.265212101708997</v>
      </c>
      <c r="E158">
        <v>8.8823798867455519</v>
      </c>
      <c r="F158">
        <v>3.940427306504497</v>
      </c>
      <c r="G158">
        <v>7.667414800573332</v>
      </c>
      <c r="H158">
        <v>3.2015971865349031</v>
      </c>
      <c r="I158">
        <v>0.39404273065044959</v>
      </c>
      <c r="J158">
        <v>0.83357059999999994</v>
      </c>
      <c r="K158">
        <v>0.36399999999999999</v>
      </c>
      <c r="L158">
        <v>12.8</v>
      </c>
      <c r="M158">
        <v>0.1228465789045993</v>
      </c>
      <c r="N158">
        <v>82</v>
      </c>
      <c r="O158">
        <v>2</v>
      </c>
      <c r="P158">
        <v>25.198600967216549</v>
      </c>
      <c r="Q158">
        <v>52.831165814796528</v>
      </c>
      <c r="R158">
        <v>14.47353800878847</v>
      </c>
      <c r="S158">
        <v>7.2530215896676058</v>
      </c>
      <c r="T158">
        <v>0.24367361953083841</v>
      </c>
      <c r="U158" t="s">
        <v>120</v>
      </c>
      <c r="V158">
        <v>898.104309079583</v>
      </c>
      <c r="W158">
        <v>34.388899753798889</v>
      </c>
      <c r="X158">
        <v>4.79</v>
      </c>
      <c r="AA158">
        <v>0.35</v>
      </c>
      <c r="AD158">
        <v>759.13</v>
      </c>
      <c r="AF158">
        <v>76.67</v>
      </c>
      <c r="AH158">
        <v>3.14</v>
      </c>
      <c r="AI158">
        <v>12.12</v>
      </c>
      <c r="AK158" t="s">
        <v>134</v>
      </c>
      <c r="AL158">
        <f t="shared" si="6"/>
        <v>12.902449769824081</v>
      </c>
      <c r="AM158">
        <f t="shared" si="7"/>
        <v>3.5918068763716157E-2</v>
      </c>
      <c r="AN158">
        <f t="shared" si="8"/>
        <v>3.9575713240672994E-2</v>
      </c>
    </row>
    <row r="159" spans="1:40" x14ac:dyDescent="0.2">
      <c r="A159" t="s">
        <v>59</v>
      </c>
      <c r="B159">
        <v>2018</v>
      </c>
      <c r="C159">
        <v>192.03706440647471</v>
      </c>
      <c r="D159">
        <v>75.953759454058257</v>
      </c>
      <c r="E159">
        <v>10.281388758586569</v>
      </c>
      <c r="F159">
        <v>4.2410728629169583</v>
      </c>
      <c r="G159">
        <v>7.534330199651718</v>
      </c>
      <c r="H159">
        <v>2.8113172386760139</v>
      </c>
      <c r="I159">
        <v>0.35342273857641321</v>
      </c>
      <c r="J159">
        <v>0.53210480000000004</v>
      </c>
      <c r="K159">
        <v>0.35699999999999998</v>
      </c>
      <c r="L159">
        <v>14.2</v>
      </c>
      <c r="M159">
        <v>0.14504576342912701</v>
      </c>
      <c r="N159">
        <v>79</v>
      </c>
      <c r="O159">
        <v>2</v>
      </c>
      <c r="P159">
        <v>27.866258812000002</v>
      </c>
      <c r="Q159">
        <v>51.579511146999998</v>
      </c>
      <c r="R159">
        <v>13.991962566</v>
      </c>
      <c r="S159">
        <v>6.1044860879999998</v>
      </c>
      <c r="T159">
        <v>0.45778138699999721</v>
      </c>
      <c r="U159" t="s">
        <v>120</v>
      </c>
      <c r="V159">
        <v>2870.0410464452052</v>
      </c>
      <c r="W159">
        <v>31.200071207929678</v>
      </c>
      <c r="X159">
        <v>5.05</v>
      </c>
      <c r="AA159">
        <v>0.2</v>
      </c>
      <c r="AD159">
        <v>761.12</v>
      </c>
      <c r="AF159">
        <v>74.88</v>
      </c>
      <c r="AH159">
        <v>3.02</v>
      </c>
      <c r="AI159">
        <v>12.08</v>
      </c>
      <c r="AK159" t="s">
        <v>134</v>
      </c>
      <c r="AL159">
        <f t="shared" si="6"/>
        <v>12.992106156570003</v>
      </c>
      <c r="AM159">
        <f t="shared" si="7"/>
        <v>4.1074117450225864E-2</v>
      </c>
      <c r="AN159">
        <f t="shared" si="8"/>
        <v>5.3538564497239434E-2</v>
      </c>
    </row>
    <row r="160" spans="1:40" x14ac:dyDescent="0.2">
      <c r="A160" t="s">
        <v>59</v>
      </c>
      <c r="B160">
        <v>2017</v>
      </c>
      <c r="C160">
        <v>180.08780336893199</v>
      </c>
      <c r="D160">
        <v>82.748216743238132</v>
      </c>
      <c r="E160">
        <v>9.7913673309593801</v>
      </c>
      <c r="F160">
        <v>4.114287901282605</v>
      </c>
      <c r="G160">
        <v>7.2398709580709406</v>
      </c>
      <c r="H160">
        <v>3.508307512721601</v>
      </c>
      <c r="I160">
        <v>0.6219272408915566</v>
      </c>
      <c r="J160">
        <v>0.46785359999999998</v>
      </c>
      <c r="K160">
        <v>0.35199999999999998</v>
      </c>
      <c r="L160">
        <v>15.3</v>
      </c>
      <c r="M160">
        <v>0.1550898540927271</v>
      </c>
      <c r="N160">
        <v>91</v>
      </c>
      <c r="O160">
        <v>2</v>
      </c>
      <c r="P160">
        <v>26.359168167</v>
      </c>
      <c r="Q160">
        <v>52.654148724000002</v>
      </c>
      <c r="R160">
        <v>15.18564748</v>
      </c>
      <c r="S160">
        <v>5.3227977360000001</v>
      </c>
      <c r="T160">
        <v>0.4782378929999993</v>
      </c>
      <c r="U160" t="s">
        <v>120</v>
      </c>
      <c r="V160">
        <v>2957.557208012875</v>
      </c>
      <c r="W160">
        <v>35.972399851153789</v>
      </c>
      <c r="X160">
        <v>1.85</v>
      </c>
      <c r="AA160">
        <v>-1.3</v>
      </c>
      <c r="AD160">
        <v>758.59</v>
      </c>
      <c r="AF160">
        <v>81.45</v>
      </c>
      <c r="AH160">
        <v>3.03</v>
      </c>
      <c r="AI160">
        <v>11.84</v>
      </c>
      <c r="AK160" t="s">
        <v>134</v>
      </c>
      <c r="AL160">
        <f t="shared" si="6"/>
        <v>12.967517093930001</v>
      </c>
      <c r="AM160">
        <f t="shared" si="7"/>
        <v>4.3655361728504392E-2</v>
      </c>
      <c r="AN160">
        <f t="shared" si="8"/>
        <v>5.4369963694323939E-2</v>
      </c>
    </row>
    <row r="161" spans="1:40" x14ac:dyDescent="0.2">
      <c r="A161" t="s">
        <v>59</v>
      </c>
      <c r="B161">
        <v>2020</v>
      </c>
      <c r="C161">
        <v>219.01625889158129</v>
      </c>
      <c r="D161">
        <v>78.623726517105709</v>
      </c>
      <c r="E161">
        <v>8.728731858568489</v>
      </c>
      <c r="F161">
        <v>4.5109304567602084</v>
      </c>
      <c r="G161">
        <v>7.1653768988248778</v>
      </c>
      <c r="H161">
        <v>3.191849709476537</v>
      </c>
      <c r="I161">
        <v>0.3094140024492561</v>
      </c>
      <c r="J161">
        <v>0.59111469999999999</v>
      </c>
      <c r="K161">
        <v>0.36099999999999999</v>
      </c>
      <c r="L161">
        <v>13.5</v>
      </c>
      <c r="M161">
        <v>0.1280521352917357</v>
      </c>
      <c r="N161">
        <v>81</v>
      </c>
      <c r="O161">
        <v>2</v>
      </c>
      <c r="P161">
        <v>26.931887365000001</v>
      </c>
      <c r="Q161">
        <v>51.260622847999997</v>
      </c>
      <c r="R161">
        <v>14.162007415</v>
      </c>
      <c r="S161">
        <v>7.2365498109999997</v>
      </c>
      <c r="T161">
        <v>0.40893256100000031</v>
      </c>
      <c r="U161" t="s">
        <v>120</v>
      </c>
      <c r="V161">
        <v>2852.2922221350859</v>
      </c>
      <c r="W161">
        <v>32.004088409066128</v>
      </c>
      <c r="X161">
        <v>6.49</v>
      </c>
      <c r="AA161">
        <v>2.38</v>
      </c>
      <c r="AD161">
        <v>758.18</v>
      </c>
      <c r="AF161">
        <v>78.09</v>
      </c>
      <c r="AH161">
        <v>3.34</v>
      </c>
      <c r="AI161">
        <v>12.39</v>
      </c>
      <c r="AK161" t="s">
        <v>134</v>
      </c>
      <c r="AL161">
        <f t="shared" si="6"/>
        <v>12.929131676070002</v>
      </c>
      <c r="AM161">
        <f t="shared" si="7"/>
        <v>3.4128931519072057E-2</v>
      </c>
      <c r="AN161">
        <f t="shared" si="8"/>
        <v>3.9854264257565629E-2</v>
      </c>
    </row>
    <row r="162" spans="1:40" x14ac:dyDescent="0.2">
      <c r="A162" t="s">
        <v>59</v>
      </c>
      <c r="B162">
        <v>2019</v>
      </c>
      <c r="C162">
        <v>199.56120480992021</v>
      </c>
      <c r="D162">
        <v>79.928032411302539</v>
      </c>
      <c r="E162">
        <v>9.0606676417670879</v>
      </c>
      <c r="F162">
        <v>4.1258397297332277</v>
      </c>
      <c r="G162">
        <v>6.5528042766351273</v>
      </c>
      <c r="H162">
        <v>3.559548002122785</v>
      </c>
      <c r="I162">
        <v>0.45303338208835447</v>
      </c>
      <c r="J162">
        <v>0.57479449999999999</v>
      </c>
      <c r="K162">
        <v>0.35899999999999999</v>
      </c>
      <c r="L162">
        <v>14.1</v>
      </c>
      <c r="M162">
        <v>0.13496038726100071</v>
      </c>
      <c r="N162">
        <v>54</v>
      </c>
      <c r="O162">
        <v>2</v>
      </c>
      <c r="P162">
        <v>26.784577033401941</v>
      </c>
      <c r="Q162">
        <v>52.766348189493307</v>
      </c>
      <c r="R162">
        <v>13.359654231536901</v>
      </c>
      <c r="S162">
        <v>6.4691113670380496</v>
      </c>
      <c r="T162">
        <v>0.62030917852980849</v>
      </c>
      <c r="U162" t="s">
        <v>120</v>
      </c>
      <c r="V162">
        <v>2854.0336408460812</v>
      </c>
      <c r="W162">
        <v>31.020375674001489</v>
      </c>
      <c r="X162">
        <v>5.97</v>
      </c>
      <c r="AA162">
        <v>1.5</v>
      </c>
      <c r="AD162">
        <v>758.25</v>
      </c>
      <c r="AF162">
        <v>76.33</v>
      </c>
      <c r="AH162">
        <v>3.21</v>
      </c>
      <c r="AI162">
        <v>12.18</v>
      </c>
      <c r="AK162" t="s">
        <v>134</v>
      </c>
      <c r="AL162">
        <f t="shared" si="6"/>
        <v>12.953906175288095</v>
      </c>
      <c r="AM162">
        <f t="shared" si="7"/>
        <v>3.5106210475109444E-2</v>
      </c>
      <c r="AN162">
        <f t="shared" si="8"/>
        <v>4.5402951191827447E-2</v>
      </c>
    </row>
    <row r="163" spans="1:40" x14ac:dyDescent="0.2">
      <c r="A163" t="s">
        <v>60</v>
      </c>
      <c r="B163">
        <v>2021</v>
      </c>
      <c r="C163">
        <v>191.63104160859959</v>
      </c>
      <c r="D163">
        <v>84.433096406761337</v>
      </c>
      <c r="E163">
        <v>9.4287105184613615</v>
      </c>
      <c r="F163">
        <v>3.0036689569484238</v>
      </c>
      <c r="G163">
        <v>5.1909171481017653</v>
      </c>
      <c r="H163">
        <v>2.4948299680342791</v>
      </c>
      <c r="I163">
        <v>0.2202437414703016</v>
      </c>
      <c r="J163">
        <v>0.69948180000000004</v>
      </c>
      <c r="K163">
        <v>0.35199999999999998</v>
      </c>
      <c r="L163">
        <v>12.5</v>
      </c>
      <c r="M163">
        <v>0.1471618663073849</v>
      </c>
      <c r="N163">
        <v>251</v>
      </c>
      <c r="O163">
        <v>12</v>
      </c>
      <c r="P163">
        <v>28.88898986054059</v>
      </c>
      <c r="Q163">
        <v>48.459514095254782</v>
      </c>
      <c r="R163">
        <v>15.583844567079771</v>
      </c>
      <c r="S163">
        <v>6.7284214802534246</v>
      </c>
      <c r="T163">
        <v>0.33922999687142408</v>
      </c>
      <c r="U163" t="s">
        <v>60</v>
      </c>
      <c r="V163">
        <v>901.59486136521684</v>
      </c>
      <c r="W163">
        <v>32.123605382161408</v>
      </c>
      <c r="AK163" t="s">
        <v>132</v>
      </c>
      <c r="AL163">
        <f t="shared" si="6"/>
        <v>12.966435346940649</v>
      </c>
      <c r="AM163">
        <f t="shared" si="7"/>
        <v>2.8237392252055876E-2</v>
      </c>
      <c r="AN163">
        <f t="shared" si="8"/>
        <v>4.9202417517091035E-2</v>
      </c>
    </row>
    <row r="164" spans="1:40" x14ac:dyDescent="0.2">
      <c r="A164" t="s">
        <v>60</v>
      </c>
      <c r="B164">
        <v>2016</v>
      </c>
      <c r="C164">
        <v>214.94487654118831</v>
      </c>
      <c r="D164">
        <v>111.45017325777231</v>
      </c>
      <c r="E164">
        <v>9.1182491195443678</v>
      </c>
      <c r="F164">
        <v>3.4110641379409321</v>
      </c>
      <c r="G164">
        <v>5.0889986006173773</v>
      </c>
      <c r="H164">
        <v>3.3705876487097011</v>
      </c>
      <c r="I164">
        <v>0.24653861622658299</v>
      </c>
      <c r="J164">
        <v>0.33371339999999999</v>
      </c>
      <c r="K164">
        <v>0.35899999999999999</v>
      </c>
      <c r="L164">
        <v>15.8</v>
      </c>
      <c r="M164">
        <v>0.17838368626849421</v>
      </c>
      <c r="N164">
        <v>297</v>
      </c>
      <c r="O164">
        <v>8</v>
      </c>
      <c r="P164">
        <v>27.014976196999999</v>
      </c>
      <c r="Q164">
        <v>51.294739282999998</v>
      </c>
      <c r="R164">
        <v>16.484985931000001</v>
      </c>
      <c r="S164">
        <v>4.8766325220000004</v>
      </c>
      <c r="T164">
        <v>0.32866606700001461</v>
      </c>
      <c r="U164" t="s">
        <v>60</v>
      </c>
      <c r="AK164" t="s">
        <v>132</v>
      </c>
      <c r="AL164">
        <f t="shared" si="6"/>
        <v>12.98595455841</v>
      </c>
      <c r="AM164">
        <f t="shared" si="7"/>
        <v>2.4822816448111757E-2</v>
      </c>
      <c r="AN164">
        <f t="shared" si="8"/>
        <v>4.2421337350635129E-2</v>
      </c>
    </row>
    <row r="165" spans="1:40" x14ac:dyDescent="0.2">
      <c r="A165" t="s">
        <v>60</v>
      </c>
      <c r="B165">
        <v>2022</v>
      </c>
      <c r="C165">
        <v>181.60016944359461</v>
      </c>
      <c r="D165">
        <v>79.544354137112748</v>
      </c>
      <c r="E165">
        <v>11.141919427101641</v>
      </c>
      <c r="F165">
        <v>3.256156508474302</v>
      </c>
      <c r="G165">
        <v>4.6064583781022703</v>
      </c>
      <c r="H165">
        <v>2.5077034721662268</v>
      </c>
      <c r="I165">
        <v>0.14660420298817939</v>
      </c>
      <c r="J165">
        <v>0.84831219999999996</v>
      </c>
      <c r="K165">
        <v>0.34899999999999998</v>
      </c>
      <c r="L165">
        <v>10.8</v>
      </c>
      <c r="M165">
        <v>0.14478013806257911</v>
      </c>
      <c r="N165">
        <v>275</v>
      </c>
      <c r="O165">
        <v>12</v>
      </c>
      <c r="P165">
        <v>26.187326497539239</v>
      </c>
      <c r="Q165">
        <v>52.322562940951613</v>
      </c>
      <c r="R165">
        <v>14.803693575777571</v>
      </c>
      <c r="S165">
        <v>6.3538518214521869</v>
      </c>
      <c r="T165">
        <v>0.33256516427940142</v>
      </c>
      <c r="U165" t="s">
        <v>60</v>
      </c>
      <c r="V165">
        <v>926.91455109574122</v>
      </c>
      <c r="W165">
        <v>30.229420682465911</v>
      </c>
      <c r="AK165" t="s">
        <v>132</v>
      </c>
      <c r="AL165">
        <f t="shared" si="6"/>
        <v>12.943587720792003</v>
      </c>
      <c r="AM165">
        <f t="shared" si="7"/>
        <v>2.6173227677338488E-2</v>
      </c>
      <c r="AN165">
        <f t="shared" si="8"/>
        <v>6.1354124620254524E-2</v>
      </c>
    </row>
    <row r="166" spans="1:40" x14ac:dyDescent="0.2">
      <c r="A166" t="s">
        <v>60</v>
      </c>
      <c r="B166">
        <v>2019</v>
      </c>
      <c r="C166">
        <v>201.0577895309948</v>
      </c>
      <c r="D166">
        <v>92.12655781645438</v>
      </c>
      <c r="E166">
        <v>9.9653885043167136</v>
      </c>
      <c r="F166">
        <v>3.1934115507266321</v>
      </c>
      <c r="G166">
        <v>4.3152188870474628</v>
      </c>
      <c r="H166">
        <v>1.6677535733303019</v>
      </c>
      <c r="I166">
        <v>0.22436146726416609</v>
      </c>
      <c r="J166">
        <v>0.41791679999999998</v>
      </c>
      <c r="K166">
        <v>0.35199999999999998</v>
      </c>
      <c r="L166">
        <v>13.6</v>
      </c>
      <c r="M166">
        <v>0.15588214768907979</v>
      </c>
      <c r="N166">
        <v>207</v>
      </c>
      <c r="O166">
        <v>13</v>
      </c>
      <c r="P166">
        <v>28.460683107519241</v>
      </c>
      <c r="Q166">
        <v>49.752952148667688</v>
      </c>
      <c r="R166">
        <v>15.56671011235459</v>
      </c>
      <c r="S166">
        <v>5.981122543004437</v>
      </c>
      <c r="T166">
        <v>0.23853208845403631</v>
      </c>
      <c r="U166" t="s">
        <v>60</v>
      </c>
      <c r="V166">
        <v>2578.300761454354</v>
      </c>
      <c r="W166">
        <v>31.820096163970099</v>
      </c>
      <c r="AK166" t="s">
        <v>132</v>
      </c>
      <c r="AL166">
        <f t="shared" si="6"/>
        <v>12.997166670222253</v>
      </c>
      <c r="AM166">
        <f t="shared" si="7"/>
        <v>2.2578485344442789E-2</v>
      </c>
      <c r="AN166">
        <f t="shared" si="8"/>
        <v>4.9564796905222433E-2</v>
      </c>
    </row>
    <row r="167" spans="1:40" x14ac:dyDescent="0.2">
      <c r="A167" t="s">
        <v>60</v>
      </c>
      <c r="B167">
        <v>2018</v>
      </c>
      <c r="C167">
        <v>196.99971464374809</v>
      </c>
      <c r="D167">
        <v>101.5704983938042</v>
      </c>
      <c r="E167">
        <v>9.5069274033657205</v>
      </c>
      <c r="F167">
        <v>3.5363395064041878</v>
      </c>
      <c r="G167">
        <v>3.9742073571446861</v>
      </c>
      <c r="H167">
        <v>1.992669795319044</v>
      </c>
      <c r="I167">
        <v>7.7925634453817297E-2</v>
      </c>
      <c r="J167">
        <v>0.47322819999999999</v>
      </c>
      <c r="K167">
        <v>0.35699999999999998</v>
      </c>
      <c r="L167">
        <v>13.9</v>
      </c>
      <c r="M167">
        <v>0.1631027456526391</v>
      </c>
      <c r="N167">
        <v>270</v>
      </c>
      <c r="O167">
        <v>13</v>
      </c>
      <c r="P167">
        <v>26.758817097000001</v>
      </c>
      <c r="Q167">
        <v>51.580833374000001</v>
      </c>
      <c r="R167">
        <v>15.173075633</v>
      </c>
      <c r="S167">
        <v>5.9708567229999998</v>
      </c>
      <c r="T167">
        <v>0.51641717300000778</v>
      </c>
      <c r="U167" t="s">
        <v>60</v>
      </c>
      <c r="V167">
        <v>2578.0875404370822</v>
      </c>
      <c r="W167">
        <v>32.189176807521761</v>
      </c>
      <c r="AK167" t="s">
        <v>132</v>
      </c>
      <c r="AL167">
        <f t="shared" ref="AL167:AL230" si="9">(15*P167+13*Q167+11*R167+9*S167+4*T167)/100</f>
        <v>12.946403014789999</v>
      </c>
      <c r="AM167">
        <f t="shared" ref="AM167:AM230" si="10">(G167+I167)/C167</f>
        <v>2.0569232797754716E-2</v>
      </c>
      <c r="AN167">
        <f t="shared" ref="AN167:AN230" si="11">E167/C167</f>
        <v>4.8258584640886074E-2</v>
      </c>
    </row>
    <row r="168" spans="1:40" x14ac:dyDescent="0.2">
      <c r="A168" t="s">
        <v>60</v>
      </c>
      <c r="B168">
        <v>2020</v>
      </c>
      <c r="C168">
        <v>194.63070582507541</v>
      </c>
      <c r="D168">
        <v>87.476588255035821</v>
      </c>
      <c r="E168">
        <v>9.0185540665514363</v>
      </c>
      <c r="F168">
        <v>3.2319307230570229</v>
      </c>
      <c r="G168">
        <v>3.9618429003248479</v>
      </c>
      <c r="H168">
        <v>1.81725557536268</v>
      </c>
      <c r="I168">
        <v>0.12792275271704159</v>
      </c>
      <c r="J168">
        <v>0.39661659999999999</v>
      </c>
      <c r="K168">
        <v>0.34300000000000003</v>
      </c>
      <c r="L168">
        <v>13.2</v>
      </c>
      <c r="M168">
        <v>0.15107302848177639</v>
      </c>
      <c r="N168">
        <v>255</v>
      </c>
      <c r="O168">
        <v>12</v>
      </c>
      <c r="P168">
        <v>27.589626454000001</v>
      </c>
      <c r="Q168">
        <v>50.046609216999997</v>
      </c>
      <c r="R168">
        <v>16.192694502999998</v>
      </c>
      <c r="S168">
        <v>5.9595424440000002</v>
      </c>
      <c r="T168">
        <v>0.21152738200001411</v>
      </c>
      <c r="U168" t="s">
        <v>60</v>
      </c>
      <c r="V168">
        <v>2547.3939038123508</v>
      </c>
      <c r="W168">
        <v>31.05708574281401</v>
      </c>
      <c r="AK168" t="s">
        <v>132</v>
      </c>
      <c r="AL168">
        <f t="shared" si="9"/>
        <v>12.970519476880003</v>
      </c>
      <c r="AM168">
        <f t="shared" si="10"/>
        <v>2.1012951865455248E-2</v>
      </c>
      <c r="AN168">
        <f t="shared" si="11"/>
        <v>4.6336748501836465E-2</v>
      </c>
    </row>
    <row r="169" spans="1:40" x14ac:dyDescent="0.2">
      <c r="A169" t="s">
        <v>60</v>
      </c>
      <c r="B169">
        <v>2017</v>
      </c>
      <c r="C169">
        <v>210.63597608426329</v>
      </c>
      <c r="D169">
        <v>106.311031569186</v>
      </c>
      <c r="E169">
        <v>9.1441219944743963</v>
      </c>
      <c r="F169">
        <v>3.1304866577772659</v>
      </c>
      <c r="G169">
        <v>3.8614257594752601</v>
      </c>
      <c r="H169">
        <v>2.3884727212050598</v>
      </c>
      <c r="I169">
        <v>4.0607727872110699E-2</v>
      </c>
      <c r="J169">
        <v>0.40744730000000001</v>
      </c>
      <c r="K169">
        <v>0.35399999999999998</v>
      </c>
      <c r="L169">
        <v>14.9</v>
      </c>
      <c r="M169">
        <v>0.1705228283091462</v>
      </c>
      <c r="N169">
        <v>306</v>
      </c>
      <c r="O169">
        <v>7</v>
      </c>
      <c r="P169">
        <v>28.447310745999999</v>
      </c>
      <c r="Q169">
        <v>49.474187483999998</v>
      </c>
      <c r="R169">
        <v>16.057220327</v>
      </c>
      <c r="S169">
        <v>5.6975084660000004</v>
      </c>
      <c r="T169">
        <v>0.3237729770000044</v>
      </c>
      <c r="U169" t="s">
        <v>60</v>
      </c>
      <c r="V169">
        <v>2452.2329754776192</v>
      </c>
      <c r="W169">
        <v>34.787409601285027</v>
      </c>
      <c r="AK169" t="s">
        <v>132</v>
      </c>
      <c r="AL169">
        <f t="shared" si="9"/>
        <v>12.990761901810002</v>
      </c>
      <c r="AM169">
        <f t="shared" si="10"/>
        <v>1.8525009639314381E-2</v>
      </c>
      <c r="AN169">
        <f t="shared" si="11"/>
        <v>4.3411966770654419E-2</v>
      </c>
    </row>
    <row r="170" spans="1:40" x14ac:dyDescent="0.2">
      <c r="A170" t="s">
        <v>61</v>
      </c>
      <c r="B170">
        <v>2022</v>
      </c>
      <c r="C170">
        <v>161.15025026627771</v>
      </c>
      <c r="D170">
        <v>69.545483024358319</v>
      </c>
      <c r="E170">
        <v>9.9114495951882056</v>
      </c>
      <c r="F170">
        <v>2.0884529436744241</v>
      </c>
      <c r="G170">
        <v>8.1449664803302539</v>
      </c>
      <c r="H170">
        <v>3.5590718915118309</v>
      </c>
      <c r="I170">
        <v>7.8316985387790902E-2</v>
      </c>
      <c r="J170">
        <v>0.48490369999999999</v>
      </c>
      <c r="K170">
        <v>0.35099999999999998</v>
      </c>
      <c r="L170">
        <v>10.6</v>
      </c>
      <c r="M170">
        <v>0.11467782132588911</v>
      </c>
      <c r="N170">
        <v>219</v>
      </c>
      <c r="O170">
        <v>4</v>
      </c>
      <c r="P170">
        <v>24.81844494611844</v>
      </c>
      <c r="Q170">
        <v>46.419520114044921</v>
      </c>
      <c r="R170">
        <v>23.619657882014241</v>
      </c>
      <c r="S170">
        <v>5.083849254613785</v>
      </c>
      <c r="T170">
        <v>5.8527803208605178E-2</v>
      </c>
      <c r="U170" t="s">
        <v>61</v>
      </c>
      <c r="V170">
        <v>994.64008992604829</v>
      </c>
      <c r="W170">
        <v>30.013206022140661</v>
      </c>
      <c r="AK170" t="s">
        <v>135</v>
      </c>
      <c r="AL170">
        <f t="shared" si="9"/>
        <v>12.815354268808756</v>
      </c>
      <c r="AM170">
        <f t="shared" si="10"/>
        <v>5.1028673254495394E-2</v>
      </c>
      <c r="AN170">
        <f t="shared" si="11"/>
        <v>6.1504400885576994E-2</v>
      </c>
    </row>
    <row r="171" spans="1:40" x14ac:dyDescent="0.2">
      <c r="A171" t="s">
        <v>61</v>
      </c>
      <c r="B171">
        <v>2016</v>
      </c>
      <c r="C171">
        <v>167.63341693166879</v>
      </c>
      <c r="D171">
        <v>88.371713036253524</v>
      </c>
      <c r="E171">
        <v>6.2428996650414579</v>
      </c>
      <c r="F171">
        <v>2.0732592714767311</v>
      </c>
      <c r="G171">
        <v>7.6764544029398669</v>
      </c>
      <c r="H171">
        <v>3.992372872211698</v>
      </c>
      <c r="I171">
        <v>0.37765689331732277</v>
      </c>
      <c r="J171">
        <v>0.25077290000000002</v>
      </c>
      <c r="K171">
        <v>0.35399999999999998</v>
      </c>
      <c r="L171">
        <v>15.4</v>
      </c>
      <c r="M171">
        <v>0.16009123294951</v>
      </c>
      <c r="N171">
        <v>194</v>
      </c>
      <c r="O171">
        <v>5</v>
      </c>
      <c r="P171">
        <v>25.634245683</v>
      </c>
      <c r="Q171">
        <v>50.581855167999997</v>
      </c>
      <c r="R171">
        <v>17.337321470999999</v>
      </c>
      <c r="S171">
        <v>5.9133776510000002</v>
      </c>
      <c r="T171">
        <v>0.53320002700000657</v>
      </c>
      <c r="U171" t="s">
        <v>61</v>
      </c>
      <c r="AK171" t="s">
        <v>135</v>
      </c>
      <c r="AL171">
        <f t="shared" si="9"/>
        <v>12.881415375770001</v>
      </c>
      <c r="AM171">
        <f t="shared" si="10"/>
        <v>4.8045977011494254E-2</v>
      </c>
      <c r="AN171">
        <f t="shared" si="11"/>
        <v>3.7241379310344824E-2</v>
      </c>
    </row>
    <row r="172" spans="1:40" x14ac:dyDescent="0.2">
      <c r="A172" t="s">
        <v>61</v>
      </c>
      <c r="B172">
        <v>2021</v>
      </c>
      <c r="C172">
        <v>152.25092847149949</v>
      </c>
      <c r="D172">
        <v>67.278688629493672</v>
      </c>
      <c r="E172">
        <v>6.791060117279768</v>
      </c>
      <c r="F172">
        <v>2.2156933480406318</v>
      </c>
      <c r="G172">
        <v>6.9030446186247829</v>
      </c>
      <c r="H172">
        <v>3.335538361490769</v>
      </c>
      <c r="I172">
        <v>2.3996678859645799E-2</v>
      </c>
      <c r="J172">
        <v>0.42084480000000002</v>
      </c>
      <c r="K172">
        <v>0.34699999999999998</v>
      </c>
      <c r="L172">
        <v>12.4</v>
      </c>
      <c r="M172">
        <v>0.11900224506797021</v>
      </c>
      <c r="N172">
        <v>208</v>
      </c>
      <c r="O172">
        <v>4</v>
      </c>
      <c r="P172">
        <v>26.431537050667661</v>
      </c>
      <c r="Q172">
        <v>48.26264277750218</v>
      </c>
      <c r="R172">
        <v>19.466255074695852</v>
      </c>
      <c r="S172">
        <v>5.531421729470873</v>
      </c>
      <c r="T172">
        <v>0.30814336766343331</v>
      </c>
      <c r="U172" t="s">
        <v>61</v>
      </c>
      <c r="V172">
        <v>936.57796851827061</v>
      </c>
      <c r="W172">
        <v>31.691895810152921</v>
      </c>
      <c r="AK172" t="s">
        <v>135</v>
      </c>
      <c r="AL172">
        <f t="shared" si="9"/>
        <v>12.890315867250893</v>
      </c>
      <c r="AM172">
        <f t="shared" si="10"/>
        <v>4.5497530734475169E-2</v>
      </c>
      <c r="AN172">
        <f t="shared" si="11"/>
        <v>4.4604392140380388E-2</v>
      </c>
    </row>
    <row r="173" spans="1:40" x14ac:dyDescent="0.2">
      <c r="A173" t="s">
        <v>61</v>
      </c>
      <c r="B173">
        <v>2017</v>
      </c>
      <c r="C173">
        <v>163.68554538106841</v>
      </c>
      <c r="D173">
        <v>84.649186643172783</v>
      </c>
      <c r="E173">
        <v>7.8966682253554277</v>
      </c>
      <c r="F173">
        <v>2.0283598774932572</v>
      </c>
      <c r="G173">
        <v>6.5650731912758848</v>
      </c>
      <c r="H173">
        <v>3.909624954710285</v>
      </c>
      <c r="I173">
        <v>8.5160147528342806E-2</v>
      </c>
      <c r="J173">
        <v>0.26846639999999999</v>
      </c>
      <c r="K173">
        <v>0.35</v>
      </c>
      <c r="L173">
        <v>14.8</v>
      </c>
      <c r="M173">
        <v>0.15046436093176149</v>
      </c>
      <c r="N173">
        <v>244</v>
      </c>
      <c r="O173">
        <v>4</v>
      </c>
      <c r="P173">
        <v>24.767282948999998</v>
      </c>
      <c r="Q173">
        <v>51.279757461000003</v>
      </c>
      <c r="R173">
        <v>17.020054549000001</v>
      </c>
      <c r="S173">
        <v>6.4753599929999996</v>
      </c>
      <c r="T173">
        <v>0.45754504800000012</v>
      </c>
      <c r="U173" t="s">
        <v>61</v>
      </c>
      <c r="V173">
        <v>2543.6986667286178</v>
      </c>
      <c r="W173">
        <v>31.746662220575839</v>
      </c>
      <c r="AK173" t="s">
        <v>135</v>
      </c>
      <c r="AL173">
        <f t="shared" si="9"/>
        <v>12.854751113959999</v>
      </c>
      <c r="AM173">
        <f t="shared" si="10"/>
        <v>4.0628103864163087E-2</v>
      </c>
      <c r="AN173">
        <f t="shared" si="11"/>
        <v>4.8242917277585971E-2</v>
      </c>
    </row>
    <row r="174" spans="1:40" x14ac:dyDescent="0.2">
      <c r="A174" t="s">
        <v>61</v>
      </c>
      <c r="B174">
        <v>2018</v>
      </c>
      <c r="C174">
        <v>158.63775854518019</v>
      </c>
      <c r="D174">
        <v>77.81876783574053</v>
      </c>
      <c r="E174">
        <v>8.7045427270701143</v>
      </c>
      <c r="F174">
        <v>1.994953391342837</v>
      </c>
      <c r="G174">
        <v>6.1251303343573049</v>
      </c>
      <c r="H174">
        <v>2.7040969796717369</v>
      </c>
      <c r="I174">
        <v>5.4549506794530703E-2</v>
      </c>
      <c r="J174">
        <v>0.2898558</v>
      </c>
      <c r="K174">
        <v>0.34899999999999998</v>
      </c>
      <c r="L174">
        <v>14.5</v>
      </c>
      <c r="M174">
        <v>0.14096372786943981</v>
      </c>
      <c r="N174">
        <v>217</v>
      </c>
      <c r="O174">
        <v>4</v>
      </c>
      <c r="P174">
        <v>25.76868455</v>
      </c>
      <c r="Q174">
        <v>48.403262298000001</v>
      </c>
      <c r="R174">
        <v>18.417271591999999</v>
      </c>
      <c r="S174">
        <v>7.0366225480000004</v>
      </c>
      <c r="T174">
        <v>0.3741590120000069</v>
      </c>
      <c r="U174" t="s">
        <v>61</v>
      </c>
      <c r="V174">
        <v>2509.3144252011948</v>
      </c>
      <c r="W174">
        <v>31.24343713242347</v>
      </c>
      <c r="AK174" t="s">
        <v>135</v>
      </c>
      <c r="AL174">
        <f t="shared" si="9"/>
        <v>12.831889046160002</v>
      </c>
      <c r="AM174">
        <f t="shared" si="10"/>
        <v>3.8954659330942679E-2</v>
      </c>
      <c r="AN174">
        <f t="shared" si="11"/>
        <v>5.4870560495161383E-2</v>
      </c>
    </row>
    <row r="175" spans="1:40" x14ac:dyDescent="0.2">
      <c r="A175" t="s">
        <v>61</v>
      </c>
      <c r="B175">
        <v>2020</v>
      </c>
      <c r="C175">
        <v>149.88094125326171</v>
      </c>
      <c r="D175">
        <v>67.181452500867394</v>
      </c>
      <c r="E175">
        <v>6.31336135399025</v>
      </c>
      <c r="F175">
        <v>2.0199587769981351</v>
      </c>
      <c r="G175">
        <v>5.8856053776847634</v>
      </c>
      <c r="H175">
        <v>2.5269288229898241</v>
      </c>
      <c r="I175">
        <v>7.9214069686200997E-3</v>
      </c>
      <c r="J175">
        <v>0.33563700000000002</v>
      </c>
      <c r="K175">
        <v>0.34200000000000003</v>
      </c>
      <c r="L175">
        <v>13.2</v>
      </c>
      <c r="M175">
        <v>0.12504737786573189</v>
      </c>
      <c r="N175">
        <v>214</v>
      </c>
      <c r="O175">
        <v>4</v>
      </c>
      <c r="P175">
        <v>26.737895105</v>
      </c>
      <c r="Q175">
        <v>46.392471958999998</v>
      </c>
      <c r="R175">
        <v>21.577914999000001</v>
      </c>
      <c r="S175">
        <v>5.1022105980000001</v>
      </c>
      <c r="T175">
        <v>0.18950733900000219</v>
      </c>
      <c r="U175" t="s">
        <v>61</v>
      </c>
      <c r="V175">
        <v>2622.674770775418</v>
      </c>
      <c r="W175">
        <v>33.534214234204299</v>
      </c>
      <c r="AK175" t="s">
        <v>135</v>
      </c>
      <c r="AL175">
        <f t="shared" si="9"/>
        <v>12.882055517689999</v>
      </c>
      <c r="AM175">
        <f t="shared" si="10"/>
        <v>3.9321388932931647E-2</v>
      </c>
      <c r="AN175">
        <f t="shared" si="11"/>
        <v>4.2122509381110916E-2</v>
      </c>
    </row>
    <row r="176" spans="1:40" x14ac:dyDescent="0.2">
      <c r="A176" t="s">
        <v>61</v>
      </c>
      <c r="B176">
        <v>2019</v>
      </c>
      <c r="C176">
        <v>150.22297617578371</v>
      </c>
      <c r="D176">
        <v>76.69154136948957</v>
      </c>
      <c r="E176">
        <v>6.6975392831903546</v>
      </c>
      <c r="F176">
        <v>1.925935591997227</v>
      </c>
      <c r="G176">
        <v>5.5183950431920534</v>
      </c>
      <c r="H176">
        <v>2.633422135996208</v>
      </c>
      <c r="I176">
        <v>6.2887692799909398E-2</v>
      </c>
      <c r="J176">
        <v>0.30845400000000001</v>
      </c>
      <c r="K176">
        <v>0.34899999999999998</v>
      </c>
      <c r="L176">
        <v>13.8</v>
      </c>
      <c r="M176">
        <v>0.13199155082114941</v>
      </c>
      <c r="N176">
        <v>172</v>
      </c>
      <c r="O176">
        <v>4</v>
      </c>
      <c r="P176">
        <v>25.60900917089371</v>
      </c>
      <c r="Q176">
        <v>46.53244372419671</v>
      </c>
      <c r="R176">
        <v>20.937714930732799</v>
      </c>
      <c r="S176">
        <v>6.6351888267753987</v>
      </c>
      <c r="T176">
        <v>0.28564334740137548</v>
      </c>
      <c r="U176" t="s">
        <v>61</v>
      </c>
      <c r="V176">
        <v>2503.0848009294618</v>
      </c>
      <c r="W176">
        <v>30.360439582522499</v>
      </c>
      <c r="AK176" t="s">
        <v>135</v>
      </c>
      <c r="AL176">
        <f t="shared" si="9"/>
        <v>12.802310430466079</v>
      </c>
      <c r="AM176">
        <f t="shared" si="10"/>
        <v>3.7153322867608578E-2</v>
      </c>
      <c r="AN176">
        <f t="shared" si="11"/>
        <v>4.4583987441130284E-2</v>
      </c>
    </row>
    <row r="177" spans="1:40" x14ac:dyDescent="0.2">
      <c r="A177" t="s">
        <v>62</v>
      </c>
      <c r="B177">
        <v>2017</v>
      </c>
      <c r="C177">
        <v>202.60912299513021</v>
      </c>
      <c r="D177">
        <v>110.99824349776731</v>
      </c>
      <c r="E177">
        <v>6.9719265325893476</v>
      </c>
      <c r="F177">
        <v>4.2795636726180817</v>
      </c>
      <c r="G177">
        <v>11.06337751630114</v>
      </c>
      <c r="H177">
        <v>5.643380667188679</v>
      </c>
      <c r="I177">
        <v>0.1293274736230739</v>
      </c>
      <c r="J177">
        <v>0.7572603</v>
      </c>
      <c r="K177">
        <v>0.39100000000000001</v>
      </c>
      <c r="L177">
        <v>14.9</v>
      </c>
      <c r="M177">
        <v>0.1641090289356259</v>
      </c>
      <c r="N177">
        <v>137</v>
      </c>
      <c r="O177">
        <v>3</v>
      </c>
      <c r="P177">
        <v>28.321046204999998</v>
      </c>
      <c r="Q177">
        <v>52.157602001999997</v>
      </c>
      <c r="R177">
        <v>13.073202889999999</v>
      </c>
      <c r="S177">
        <v>5.863889092</v>
      </c>
      <c r="T177">
        <v>0.58425981100000968</v>
      </c>
      <c r="U177" t="s">
        <v>121</v>
      </c>
      <c r="V177">
        <v>2600.103758473208</v>
      </c>
      <c r="W177">
        <v>33.44453510912281</v>
      </c>
      <c r="AK177" t="s">
        <v>134</v>
      </c>
      <c r="AL177">
        <f t="shared" si="9"/>
        <v>13.017817919629998</v>
      </c>
      <c r="AM177">
        <f t="shared" si="10"/>
        <v>5.5242848024139736E-2</v>
      </c>
      <c r="AN177">
        <f t="shared" si="11"/>
        <v>3.4410723611675277E-2</v>
      </c>
    </row>
    <row r="178" spans="1:40" x14ac:dyDescent="0.2">
      <c r="A178" t="s">
        <v>62</v>
      </c>
      <c r="B178">
        <v>2016</v>
      </c>
      <c r="C178">
        <v>222.272536824648</v>
      </c>
      <c r="D178">
        <v>122.64962402153979</v>
      </c>
      <c r="E178">
        <v>9.1033120883814895</v>
      </c>
      <c r="F178">
        <v>4.5866687829922119</v>
      </c>
      <c r="G178">
        <v>10.15369425242551</v>
      </c>
      <c r="H178">
        <v>5.5670254694332959</v>
      </c>
      <c r="I178">
        <v>0.21007643280880359</v>
      </c>
      <c r="J178">
        <v>0.70757840000000005</v>
      </c>
      <c r="K178">
        <v>0.39400000000000002</v>
      </c>
      <c r="L178">
        <v>15.4</v>
      </c>
      <c r="M178">
        <v>0.1738657709650957</v>
      </c>
      <c r="N178">
        <v>143</v>
      </c>
      <c r="O178">
        <v>3</v>
      </c>
      <c r="P178">
        <v>24.526039272999999</v>
      </c>
      <c r="Q178">
        <v>54.501980570000001</v>
      </c>
      <c r="R178">
        <v>14.37852215</v>
      </c>
      <c r="S178">
        <v>6.021070956</v>
      </c>
      <c r="T178">
        <v>0.57238705100000686</v>
      </c>
      <c r="U178" t="s">
        <v>121</v>
      </c>
      <c r="AK178" t="s">
        <v>134</v>
      </c>
      <c r="AL178">
        <f t="shared" si="9"/>
        <v>12.910592669630001</v>
      </c>
      <c r="AM178">
        <f t="shared" si="10"/>
        <v>4.6626411131530598E-2</v>
      </c>
      <c r="AN178">
        <f t="shared" si="11"/>
        <v>4.0955631399317412E-2</v>
      </c>
    </row>
    <row r="179" spans="1:40" x14ac:dyDescent="0.2">
      <c r="A179" t="s">
        <v>62</v>
      </c>
      <c r="B179">
        <v>2018</v>
      </c>
      <c r="C179">
        <v>199.0074601039633</v>
      </c>
      <c r="D179">
        <v>100.4075526268533</v>
      </c>
      <c r="E179">
        <v>6.2554036102954909</v>
      </c>
      <c r="F179">
        <v>3.3774422534675268</v>
      </c>
      <c r="G179">
        <v>9.5020294384526558</v>
      </c>
      <c r="H179">
        <v>5.9105239435681716</v>
      </c>
      <c r="I179">
        <v>0.26163285062072389</v>
      </c>
      <c r="J179">
        <v>0.88416080000000008</v>
      </c>
      <c r="K179">
        <v>0.39300000000000002</v>
      </c>
      <c r="L179">
        <v>14</v>
      </c>
      <c r="M179">
        <v>0.15354070983834181</v>
      </c>
      <c r="N179">
        <v>132</v>
      </c>
      <c r="O179">
        <v>3</v>
      </c>
      <c r="P179">
        <v>26.705305928000001</v>
      </c>
      <c r="Q179">
        <v>55.160589192000003</v>
      </c>
      <c r="R179">
        <v>12.776775591</v>
      </c>
      <c r="S179">
        <v>5.0294239599999999</v>
      </c>
      <c r="T179">
        <v>0.32790532899998942</v>
      </c>
      <c r="U179" t="s">
        <v>121</v>
      </c>
      <c r="V179">
        <v>2534.7960701874472</v>
      </c>
      <c r="W179">
        <v>31.886256816351558</v>
      </c>
      <c r="AK179" t="s">
        <v>134</v>
      </c>
      <c r="AL179">
        <f t="shared" si="9"/>
        <v>13.047882168729998</v>
      </c>
      <c r="AM179">
        <f t="shared" si="10"/>
        <v>4.9061790366917678E-2</v>
      </c>
      <c r="AN179">
        <f t="shared" si="11"/>
        <v>3.1433010637026429E-2</v>
      </c>
    </row>
    <row r="180" spans="1:40" x14ac:dyDescent="0.2">
      <c r="A180" t="s">
        <v>62</v>
      </c>
      <c r="B180">
        <v>2019</v>
      </c>
      <c r="C180">
        <v>204.58063078525959</v>
      </c>
      <c r="D180">
        <v>104.52462254662839</v>
      </c>
      <c r="E180">
        <v>8.2868103609219084</v>
      </c>
      <c r="F180">
        <v>4.119315615458274</v>
      </c>
      <c r="G180">
        <v>9.2022138310237462</v>
      </c>
      <c r="H180">
        <v>5.6249134281257724</v>
      </c>
      <c r="I180">
        <v>0.26498521502947958</v>
      </c>
      <c r="J180">
        <v>0.93113000000000001</v>
      </c>
      <c r="K180">
        <v>0.39</v>
      </c>
      <c r="L180">
        <v>14.5</v>
      </c>
      <c r="M180">
        <v>0.14380584926826381</v>
      </c>
      <c r="N180">
        <v>90</v>
      </c>
      <c r="O180">
        <v>3</v>
      </c>
      <c r="P180">
        <v>27.546880002835351</v>
      </c>
      <c r="Q180">
        <v>54.093578931665583</v>
      </c>
      <c r="R180">
        <v>12.655717558046589</v>
      </c>
      <c r="S180">
        <v>5.3935084600219936</v>
      </c>
      <c r="T180">
        <v>0.31031504743049249</v>
      </c>
      <c r="U180" t="s">
        <v>121</v>
      </c>
      <c r="V180">
        <v>2449.3597518221059</v>
      </c>
      <c r="W180">
        <v>31.84215828192605</v>
      </c>
      <c r="AK180" t="s">
        <v>134</v>
      </c>
      <c r="AL180">
        <f t="shared" si="9"/>
        <v>13.054154556226154</v>
      </c>
      <c r="AM180">
        <f t="shared" si="10"/>
        <v>4.6276125993523702E-2</v>
      </c>
      <c r="AN180">
        <f t="shared" si="11"/>
        <v>4.0506329113924058E-2</v>
      </c>
    </row>
    <row r="181" spans="1:40" x14ac:dyDescent="0.2">
      <c r="A181" t="s">
        <v>62</v>
      </c>
      <c r="B181">
        <v>2021</v>
      </c>
      <c r="C181">
        <v>184.68761907103089</v>
      </c>
      <c r="D181">
        <v>95.293698300126593</v>
      </c>
      <c r="E181">
        <v>8.9234135129487822</v>
      </c>
      <c r="F181">
        <v>4.3633771309873524</v>
      </c>
      <c r="G181">
        <v>8.345726963212428</v>
      </c>
      <c r="H181">
        <v>5.0639757125825042</v>
      </c>
      <c r="I181">
        <v>0.41790090831991539</v>
      </c>
      <c r="J181">
        <v>1.1718773</v>
      </c>
      <c r="K181">
        <v>0.38900000000000001</v>
      </c>
      <c r="L181">
        <v>14</v>
      </c>
      <c r="M181">
        <v>0.13367456128310939</v>
      </c>
      <c r="N181">
        <v>119</v>
      </c>
      <c r="O181">
        <v>3</v>
      </c>
      <c r="P181">
        <v>30.058983295338528</v>
      </c>
      <c r="Q181">
        <v>52.593733986812623</v>
      </c>
      <c r="R181">
        <v>11.315079985003671</v>
      </c>
      <c r="S181">
        <v>5.8576994137970892</v>
      </c>
      <c r="T181">
        <v>0.17450331904808539</v>
      </c>
      <c r="U181" t="s">
        <v>121</v>
      </c>
      <c r="V181">
        <v>927.26384869089986</v>
      </c>
      <c r="W181">
        <v>31.44803718013177</v>
      </c>
      <c r="AK181" t="s">
        <v>134</v>
      </c>
      <c r="AL181">
        <f t="shared" si="9"/>
        <v>13.124864790940485</v>
      </c>
      <c r="AM181">
        <f t="shared" si="10"/>
        <v>4.7451084786370272E-2</v>
      </c>
      <c r="AN181">
        <f t="shared" si="11"/>
        <v>4.8316251830161042E-2</v>
      </c>
    </row>
    <row r="182" spans="1:40" x14ac:dyDescent="0.2">
      <c r="A182" t="s">
        <v>62</v>
      </c>
      <c r="B182">
        <v>2020</v>
      </c>
      <c r="C182">
        <v>209.68392622304449</v>
      </c>
      <c r="D182">
        <v>98.28476988273836</v>
      </c>
      <c r="E182">
        <v>8.434159320294512</v>
      </c>
      <c r="F182">
        <v>4.1927034771406246</v>
      </c>
      <c r="G182">
        <v>7.641933372578988</v>
      </c>
      <c r="H182">
        <v>4.1439511111273619</v>
      </c>
      <c r="I182">
        <v>0.12188091503315771</v>
      </c>
      <c r="J182">
        <v>0.81021790000000005</v>
      </c>
      <c r="K182">
        <v>0.38700000000000001</v>
      </c>
      <c r="L182">
        <v>14.2</v>
      </c>
      <c r="M182">
        <v>0.13733357435905491</v>
      </c>
      <c r="N182">
        <v>123</v>
      </c>
      <c r="O182">
        <v>3</v>
      </c>
      <c r="P182">
        <v>29.79856977</v>
      </c>
      <c r="Q182">
        <v>50.285676004000003</v>
      </c>
      <c r="R182">
        <v>13.838928007</v>
      </c>
      <c r="S182">
        <v>5.9227203560000001</v>
      </c>
      <c r="T182">
        <v>0.15410586299999809</v>
      </c>
      <c r="U182" t="s">
        <v>121</v>
      </c>
      <c r="V182">
        <v>2422.3203198318529</v>
      </c>
      <c r="W182">
        <v>32.770947668416667</v>
      </c>
      <c r="AK182" t="s">
        <v>134</v>
      </c>
      <c r="AL182">
        <f t="shared" si="9"/>
        <v>13.068414493350001</v>
      </c>
      <c r="AM182">
        <f t="shared" si="10"/>
        <v>3.7026272959776799E-2</v>
      </c>
      <c r="AN182">
        <f t="shared" si="11"/>
        <v>4.0223203906068351E-2</v>
      </c>
    </row>
    <row r="183" spans="1:40" x14ac:dyDescent="0.2">
      <c r="A183" t="s">
        <v>62</v>
      </c>
      <c r="B183">
        <v>2022</v>
      </c>
      <c r="C183">
        <v>201.494356333312</v>
      </c>
      <c r="D183">
        <v>102.4833767496456</v>
      </c>
      <c r="E183">
        <v>10.07676040323382</v>
      </c>
      <c r="F183">
        <v>5.882649316482448</v>
      </c>
      <c r="G183">
        <v>5.5694527093549109</v>
      </c>
      <c r="H183">
        <v>4.8885905199472193</v>
      </c>
      <c r="I183">
        <v>0.2995793633393839</v>
      </c>
      <c r="J183">
        <v>1.3358462</v>
      </c>
      <c r="K183">
        <v>0.38200000000000001</v>
      </c>
      <c r="L183">
        <v>11.7</v>
      </c>
      <c r="M183">
        <v>0.1305444310238941</v>
      </c>
      <c r="N183">
        <v>114</v>
      </c>
      <c r="O183">
        <v>3</v>
      </c>
      <c r="P183">
        <v>27.31624170323326</v>
      </c>
      <c r="Q183">
        <v>53.725355934790009</v>
      </c>
      <c r="R183">
        <v>12.462977536924759</v>
      </c>
      <c r="S183">
        <v>6.3660375334969004</v>
      </c>
      <c r="T183">
        <v>0.12938729155507639</v>
      </c>
      <c r="U183" t="s">
        <v>121</v>
      </c>
      <c r="V183">
        <v>905.78398334677183</v>
      </c>
      <c r="W183">
        <v>32.633565504593783</v>
      </c>
      <c r="AK183" t="s">
        <v>134</v>
      </c>
      <c r="AL183">
        <f t="shared" si="9"/>
        <v>13.030778925746336</v>
      </c>
      <c r="AM183">
        <f t="shared" si="10"/>
        <v>2.912752584983443E-2</v>
      </c>
      <c r="AN183">
        <f t="shared" si="11"/>
        <v>5.0010137189970924E-2</v>
      </c>
    </row>
    <row r="184" spans="1:40" x14ac:dyDescent="0.2">
      <c r="A184" t="s">
        <v>63</v>
      </c>
      <c r="B184">
        <v>2016</v>
      </c>
      <c r="C184">
        <v>134.74556758001381</v>
      </c>
      <c r="D184">
        <v>73.942743111520457</v>
      </c>
      <c r="E184">
        <v>8.0742958016731912</v>
      </c>
      <c r="F184">
        <v>3.3617315219894079</v>
      </c>
      <c r="G184">
        <v>8.8725151584925932</v>
      </c>
      <c r="H184">
        <v>3.4998848722081508</v>
      </c>
      <c r="I184">
        <v>0.1995548392048507</v>
      </c>
      <c r="J184">
        <v>0.27100610000000003</v>
      </c>
      <c r="K184">
        <v>0.36099999999999999</v>
      </c>
      <c r="L184">
        <v>13.2</v>
      </c>
      <c r="M184">
        <v>0.15941783532242229</v>
      </c>
      <c r="N184">
        <v>140</v>
      </c>
      <c r="O184">
        <v>2</v>
      </c>
      <c r="P184">
        <v>26.600161136000001</v>
      </c>
      <c r="Q184">
        <v>56.150000839999997</v>
      </c>
      <c r="R184">
        <v>12.273404013</v>
      </c>
      <c r="S184">
        <v>4.7172895370000001</v>
      </c>
      <c r="T184">
        <v>0.25914447399999568</v>
      </c>
      <c r="U184" t="s">
        <v>63</v>
      </c>
      <c r="AK184" t="s">
        <v>136</v>
      </c>
      <c r="AL184">
        <f t="shared" si="9"/>
        <v>13.074520558319998</v>
      </c>
      <c r="AM184">
        <f t="shared" si="10"/>
        <v>6.7327409432672583E-2</v>
      </c>
      <c r="AN184">
        <f t="shared" si="11"/>
        <v>5.9922533606744141E-2</v>
      </c>
    </row>
    <row r="185" spans="1:40" x14ac:dyDescent="0.2">
      <c r="A185" t="s">
        <v>63</v>
      </c>
      <c r="B185">
        <v>2021</v>
      </c>
      <c r="C185">
        <v>142.05399866013809</v>
      </c>
      <c r="D185">
        <v>59.339012098538717</v>
      </c>
      <c r="E185">
        <v>6.9857404964490479</v>
      </c>
      <c r="F185">
        <v>2.6256200043601199</v>
      </c>
      <c r="G185">
        <v>7.6540801339225331</v>
      </c>
      <c r="H185">
        <v>3.898647885261997</v>
      </c>
      <c r="I185">
        <v>1.5912848511273399E-2</v>
      </c>
      <c r="J185">
        <v>0.4241084</v>
      </c>
      <c r="K185">
        <v>0.34499999999999997</v>
      </c>
      <c r="L185">
        <v>11</v>
      </c>
      <c r="M185">
        <v>0.1213740781914306</v>
      </c>
      <c r="N185">
        <v>113</v>
      </c>
      <c r="O185">
        <v>2</v>
      </c>
      <c r="P185">
        <v>27.21746400829937</v>
      </c>
      <c r="Q185">
        <v>54.08104426499051</v>
      </c>
      <c r="R185">
        <v>12.31048200134256</v>
      </c>
      <c r="S185">
        <v>5.9468879514740554</v>
      </c>
      <c r="T185">
        <v>0.44412177389349949</v>
      </c>
      <c r="U185" t="s">
        <v>63</v>
      </c>
      <c r="V185">
        <v>1007.478066183913</v>
      </c>
      <c r="W185">
        <v>33.019194361579601</v>
      </c>
      <c r="AK185" t="s">
        <v>136</v>
      </c>
      <c r="AL185">
        <f t="shared" si="9"/>
        <v>13.020293162429757</v>
      </c>
      <c r="AM185">
        <f t="shared" si="10"/>
        <v>5.399350285650277E-2</v>
      </c>
      <c r="AN185">
        <f t="shared" si="11"/>
        <v>4.9176655091296088E-2</v>
      </c>
    </row>
    <row r="186" spans="1:40" x14ac:dyDescent="0.2">
      <c r="A186" t="s">
        <v>63</v>
      </c>
      <c r="B186">
        <v>2020</v>
      </c>
      <c r="C186">
        <v>143.89352447563491</v>
      </c>
      <c r="D186">
        <v>62.631732674439718</v>
      </c>
      <c r="E186">
        <v>7.1362599366893757</v>
      </c>
      <c r="F186">
        <v>2.6997797548094762</v>
      </c>
      <c r="G186">
        <v>7.0731071938868153</v>
      </c>
      <c r="H186">
        <v>3.189213511529323</v>
      </c>
      <c r="I186">
        <v>1.5788185700640198E-2</v>
      </c>
      <c r="J186">
        <v>0.34386840000000002</v>
      </c>
      <c r="K186">
        <v>0.34</v>
      </c>
      <c r="L186">
        <v>11.8</v>
      </c>
      <c r="M186">
        <v>0.1264465657025125</v>
      </c>
      <c r="N186">
        <v>113</v>
      </c>
      <c r="O186">
        <v>2</v>
      </c>
      <c r="P186">
        <v>25.228231877999999</v>
      </c>
      <c r="Q186">
        <v>56.448864950000001</v>
      </c>
      <c r="R186">
        <v>12.489222748</v>
      </c>
      <c r="S186">
        <v>5.7736803500000002</v>
      </c>
      <c r="T186">
        <v>6.000007399998708E-2</v>
      </c>
      <c r="U186" t="s">
        <v>63</v>
      </c>
      <c r="V186">
        <v>2725.6855383298289</v>
      </c>
      <c r="W186">
        <v>35.56672388539134</v>
      </c>
      <c r="AK186" t="s">
        <v>136</v>
      </c>
      <c r="AL186">
        <f t="shared" si="9"/>
        <v>13.018432961939999</v>
      </c>
      <c r="AM186">
        <f t="shared" si="10"/>
        <v>4.9264867237217465E-2</v>
      </c>
      <c r="AN186">
        <f t="shared" si="11"/>
        <v>4.9594031160851433E-2</v>
      </c>
    </row>
    <row r="187" spans="1:40" x14ac:dyDescent="0.2">
      <c r="A187" t="s">
        <v>63</v>
      </c>
      <c r="B187">
        <v>2022</v>
      </c>
      <c r="C187">
        <v>141.66188001301049</v>
      </c>
      <c r="D187">
        <v>59.844704807645734</v>
      </c>
      <c r="E187">
        <v>9.100408999370238</v>
      </c>
      <c r="F187">
        <v>3.3737257697285101</v>
      </c>
      <c r="G187">
        <v>7.0242700641526934</v>
      </c>
      <c r="H187">
        <v>3.4429304009024282</v>
      </c>
      <c r="I187">
        <v>6.9204631173918105E-2</v>
      </c>
      <c r="J187">
        <v>0.48011969999999998</v>
      </c>
      <c r="K187">
        <v>0.34699999999999998</v>
      </c>
      <c r="L187">
        <v>9.5</v>
      </c>
      <c r="M187">
        <v>0.119597713478986</v>
      </c>
      <c r="N187">
        <v>111</v>
      </c>
      <c r="O187">
        <v>2</v>
      </c>
      <c r="P187">
        <v>24.929827115466129</v>
      </c>
      <c r="Q187">
        <v>56.867993274093458</v>
      </c>
      <c r="R187">
        <v>12.4517077313472</v>
      </c>
      <c r="S187">
        <v>5.5696342511682131</v>
      </c>
      <c r="T187">
        <v>0.18083762792500119</v>
      </c>
      <c r="U187" t="s">
        <v>63</v>
      </c>
      <c r="V187">
        <v>962.80504730013558</v>
      </c>
      <c r="W187">
        <v>33.304232635064437</v>
      </c>
      <c r="AK187" t="s">
        <v>136</v>
      </c>
      <c r="AL187">
        <f t="shared" si="9"/>
        <v>13.0105016311224</v>
      </c>
      <c r="AM187">
        <f t="shared" si="10"/>
        <v>5.0073277967757693E-2</v>
      </c>
      <c r="AN187">
        <f t="shared" si="11"/>
        <v>6.4240351734245235E-2</v>
      </c>
    </row>
    <row r="188" spans="1:40" x14ac:dyDescent="0.2">
      <c r="A188" t="s">
        <v>63</v>
      </c>
      <c r="B188">
        <v>2017</v>
      </c>
      <c r="C188">
        <v>136.58727746518201</v>
      </c>
      <c r="D188">
        <v>71.155599646381972</v>
      </c>
      <c r="E188">
        <v>8.2850297073085688</v>
      </c>
      <c r="F188">
        <v>2.761676569102856</v>
      </c>
      <c r="G188">
        <v>7.0199041281664787</v>
      </c>
      <c r="H188">
        <v>4.0730872304086816</v>
      </c>
      <c r="I188">
        <v>0.107998525048715</v>
      </c>
      <c r="J188">
        <v>0.28783740000000002</v>
      </c>
      <c r="K188">
        <v>0.36</v>
      </c>
      <c r="L188">
        <v>12.9</v>
      </c>
      <c r="M188">
        <v>0.1505302130139991</v>
      </c>
      <c r="N188">
        <v>123</v>
      </c>
      <c r="O188">
        <v>2</v>
      </c>
      <c r="P188">
        <v>25.078064199</v>
      </c>
      <c r="Q188">
        <v>57.488702818</v>
      </c>
      <c r="R188">
        <v>11.030163795</v>
      </c>
      <c r="S188">
        <v>5.6213323119999998</v>
      </c>
      <c r="T188">
        <v>0.78173687599999653</v>
      </c>
      <c r="U188" t="s">
        <v>63</v>
      </c>
      <c r="V188">
        <v>2451.4481573207399</v>
      </c>
      <c r="W188">
        <v>33.172275866541149</v>
      </c>
      <c r="AK188" t="s">
        <v>136</v>
      </c>
      <c r="AL188">
        <f t="shared" si="9"/>
        <v>12.98574839676</v>
      </c>
      <c r="AM188">
        <f t="shared" si="10"/>
        <v>5.218569976279229E-2</v>
      </c>
      <c r="AN188">
        <f t="shared" si="11"/>
        <v>6.065740426973909E-2</v>
      </c>
    </row>
    <row r="189" spans="1:40" x14ac:dyDescent="0.2">
      <c r="A189" t="s">
        <v>63</v>
      </c>
      <c r="B189">
        <v>2018</v>
      </c>
      <c r="C189">
        <v>123.8722634318011</v>
      </c>
      <c r="D189">
        <v>69.234165055244318</v>
      </c>
      <c r="E189">
        <v>6.9327430657025078</v>
      </c>
      <c r="F189">
        <v>2.347184311482239</v>
      </c>
      <c r="G189">
        <v>6.7151233282140872</v>
      </c>
      <c r="H189">
        <v>3.233207528399376</v>
      </c>
      <c r="I189">
        <v>4.6632800890375602E-2</v>
      </c>
      <c r="J189">
        <v>0.31409209999999999</v>
      </c>
      <c r="K189">
        <v>0.34599999999999997</v>
      </c>
      <c r="L189">
        <v>12.1</v>
      </c>
      <c r="M189">
        <v>0.14137640933024531</v>
      </c>
      <c r="N189">
        <v>117</v>
      </c>
      <c r="O189">
        <v>2</v>
      </c>
      <c r="P189">
        <v>25.391813998</v>
      </c>
      <c r="Q189">
        <v>55.705318828000003</v>
      </c>
      <c r="R189">
        <v>13.086595939</v>
      </c>
      <c r="S189">
        <v>5.4236294630000002</v>
      </c>
      <c r="T189">
        <v>0.3926417719999904</v>
      </c>
      <c r="U189" t="s">
        <v>63</v>
      </c>
      <c r="V189">
        <v>2596.0464311457799</v>
      </c>
      <c r="W189">
        <v>34.635479130398181</v>
      </c>
      <c r="AK189" t="s">
        <v>136</v>
      </c>
      <c r="AL189">
        <f t="shared" si="9"/>
        <v>12.99382142318</v>
      </c>
      <c r="AM189">
        <f t="shared" si="10"/>
        <v>5.4586522775756041E-2</v>
      </c>
      <c r="AN189">
        <f t="shared" si="11"/>
        <v>5.5966871627556779E-2</v>
      </c>
    </row>
    <row r="190" spans="1:40" x14ac:dyDescent="0.2">
      <c r="A190" t="s">
        <v>63</v>
      </c>
      <c r="B190">
        <v>2019</v>
      </c>
      <c r="C190">
        <v>129.5689247991815</v>
      </c>
      <c r="D190">
        <v>64.290164091346327</v>
      </c>
      <c r="E190">
        <v>7.1084804328483981</v>
      </c>
      <c r="F190">
        <v>2.6990256831124162</v>
      </c>
      <c r="G190">
        <v>6.2297278848583097</v>
      </c>
      <c r="H190">
        <v>3.499318182174818</v>
      </c>
      <c r="I190">
        <v>4.7076029356611898E-2</v>
      </c>
      <c r="J190">
        <v>0.33867789999999998</v>
      </c>
      <c r="K190">
        <v>0.34799999999999998</v>
      </c>
      <c r="L190">
        <v>11.9</v>
      </c>
      <c r="M190">
        <v>0.13238098540272519</v>
      </c>
      <c r="N190">
        <v>87</v>
      </c>
      <c r="O190">
        <v>2</v>
      </c>
      <c r="P190">
        <v>27.82516751649689</v>
      </c>
      <c r="Q190">
        <v>54.150460691454462</v>
      </c>
      <c r="R190">
        <v>11.695828557166021</v>
      </c>
      <c r="S190">
        <v>5.7886176788661299</v>
      </c>
      <c r="T190">
        <v>0.53992555601651304</v>
      </c>
      <c r="U190" t="s">
        <v>63</v>
      </c>
      <c r="V190">
        <v>2621.1373010996608</v>
      </c>
      <c r="W190">
        <v>34.575402552132232</v>
      </c>
      <c r="AK190" t="s">
        <v>136</v>
      </c>
      <c r="AL190">
        <f t="shared" si="9"/>
        <v>13.042448771990486</v>
      </c>
      <c r="AM190">
        <f t="shared" si="10"/>
        <v>4.8443744701465431E-2</v>
      </c>
      <c r="AN190">
        <f t="shared" si="11"/>
        <v>5.4862540874409595E-2</v>
      </c>
    </row>
    <row r="191" spans="1:40" x14ac:dyDescent="0.2">
      <c r="A191" t="s">
        <v>64</v>
      </c>
      <c r="B191">
        <v>2021</v>
      </c>
      <c r="C191">
        <v>137.5505436627048</v>
      </c>
      <c r="D191">
        <v>50.531787154243347</v>
      </c>
      <c r="E191">
        <v>6.4251126901781452</v>
      </c>
      <c r="F191">
        <v>2.1675078954817839</v>
      </c>
      <c r="G191">
        <v>8.7333678516003044</v>
      </c>
      <c r="H191">
        <v>2.7340156408917959</v>
      </c>
      <c r="I191">
        <v>0.1812121048982335</v>
      </c>
      <c r="J191">
        <v>0.56337209999999993</v>
      </c>
      <c r="K191">
        <v>0.41</v>
      </c>
      <c r="L191">
        <v>9.9</v>
      </c>
      <c r="M191">
        <v>0.14883437572380259</v>
      </c>
      <c r="N191">
        <v>582</v>
      </c>
      <c r="O191">
        <v>15</v>
      </c>
      <c r="P191">
        <v>28.968972658131481</v>
      </c>
      <c r="Q191">
        <v>42.72363813482562</v>
      </c>
      <c r="R191">
        <v>23.386815946091481</v>
      </c>
      <c r="S191">
        <v>4.8847217996201184</v>
      </c>
      <c r="T191">
        <v>3.5851461331290579E-2</v>
      </c>
      <c r="U191" t="s">
        <v>64</v>
      </c>
      <c r="V191">
        <v>982.3360743375199</v>
      </c>
      <c r="W191">
        <v>34.820034075387532</v>
      </c>
      <c r="X191">
        <v>13.36</v>
      </c>
      <c r="AA191">
        <v>8.58</v>
      </c>
      <c r="AD191">
        <v>761.54</v>
      </c>
      <c r="AF191">
        <v>75.010000000000005</v>
      </c>
      <c r="AH191">
        <v>3.94</v>
      </c>
      <c r="AI191">
        <v>14.19</v>
      </c>
      <c r="AK191" t="s">
        <v>131</v>
      </c>
      <c r="AL191">
        <f t="shared" si="9"/>
        <v>12.913027630736176</v>
      </c>
      <c r="AM191">
        <f t="shared" si="10"/>
        <v>6.4809485438010808E-2</v>
      </c>
      <c r="AN191">
        <f t="shared" si="11"/>
        <v>4.6710921811647037E-2</v>
      </c>
    </row>
    <row r="192" spans="1:40" x14ac:dyDescent="0.2">
      <c r="A192" t="s">
        <v>64</v>
      </c>
      <c r="B192">
        <v>2016</v>
      </c>
      <c r="C192">
        <v>129.690863150014</v>
      </c>
      <c r="D192">
        <v>59.41814398915885</v>
      </c>
      <c r="E192">
        <v>4.5177521725473024</v>
      </c>
      <c r="F192">
        <v>2.270664680862795</v>
      </c>
      <c r="G192">
        <v>8.0906031480262985</v>
      </c>
      <c r="H192">
        <v>3.3008064849602921</v>
      </c>
      <c r="I192">
        <v>0.1704812140583887</v>
      </c>
      <c r="J192">
        <v>0.40197509999999997</v>
      </c>
      <c r="K192">
        <v>0.41299999999999998</v>
      </c>
      <c r="L192">
        <v>11.8</v>
      </c>
      <c r="M192">
        <v>0.18231081255216461</v>
      </c>
      <c r="N192">
        <v>543</v>
      </c>
      <c r="O192">
        <v>21</v>
      </c>
      <c r="P192">
        <v>29.045155668</v>
      </c>
      <c r="Q192">
        <v>43.343512783999998</v>
      </c>
      <c r="R192">
        <v>24.949230463999999</v>
      </c>
      <c r="S192">
        <v>2.6238841549999998</v>
      </c>
      <c r="T192">
        <v>3.8216929000014943E-2</v>
      </c>
      <c r="U192" t="s">
        <v>64</v>
      </c>
      <c r="X192">
        <v>12.6</v>
      </c>
      <c r="AA192">
        <v>7.74</v>
      </c>
      <c r="AD192">
        <v>762.32</v>
      </c>
      <c r="AF192">
        <v>75.05</v>
      </c>
      <c r="AH192">
        <v>4.21</v>
      </c>
      <c r="AI192">
        <v>14.67</v>
      </c>
      <c r="AK192" t="s">
        <v>131</v>
      </c>
      <c r="AL192">
        <f t="shared" si="9"/>
        <v>12.973523614269999</v>
      </c>
      <c r="AM192">
        <f t="shared" si="10"/>
        <v>6.369827574151507E-2</v>
      </c>
      <c r="AN192">
        <f t="shared" si="11"/>
        <v>3.4834776042176531E-2</v>
      </c>
    </row>
    <row r="193" spans="1:40" x14ac:dyDescent="0.2">
      <c r="A193" t="s">
        <v>64</v>
      </c>
      <c r="B193">
        <v>2022</v>
      </c>
      <c r="C193">
        <v>132.24356066022841</v>
      </c>
      <c r="D193">
        <v>49.425227047404668</v>
      </c>
      <c r="E193">
        <v>6.6408986766556213</v>
      </c>
      <c r="F193">
        <v>2.3010808221202801</v>
      </c>
      <c r="G193">
        <v>7.7674337736250871</v>
      </c>
      <c r="H193">
        <v>3.2578640551628402</v>
      </c>
      <c r="I193">
        <v>0.15089054571280519</v>
      </c>
      <c r="J193">
        <v>0.73880109999999999</v>
      </c>
      <c r="K193">
        <v>0.40600000000000003</v>
      </c>
      <c r="L193">
        <v>9.1999999999999993</v>
      </c>
      <c r="M193">
        <v>0.1445651454499127</v>
      </c>
      <c r="N193">
        <v>574</v>
      </c>
      <c r="O193">
        <v>17</v>
      </c>
      <c r="P193">
        <v>27.978563968286121</v>
      </c>
      <c r="Q193">
        <v>44.138521183111997</v>
      </c>
      <c r="R193">
        <v>23.399149307980512</v>
      </c>
      <c r="S193">
        <v>4.4095146292986129</v>
      </c>
      <c r="T193">
        <v>7.4250911322749857E-2</v>
      </c>
      <c r="U193" t="s">
        <v>64</v>
      </c>
      <c r="V193">
        <v>936.79594604827832</v>
      </c>
      <c r="W193">
        <v>33.43675570122835</v>
      </c>
      <c r="X193">
        <v>13.42</v>
      </c>
      <c r="AA193">
        <v>8.49</v>
      </c>
      <c r="AD193">
        <v>761.46</v>
      </c>
      <c r="AF193">
        <v>74.77</v>
      </c>
      <c r="AH193">
        <v>3.98</v>
      </c>
      <c r="AI193">
        <v>13.81</v>
      </c>
      <c r="AK193" t="s">
        <v>131</v>
      </c>
      <c r="AL193">
        <f t="shared" si="9"/>
        <v>12.908525126015119</v>
      </c>
      <c r="AM193">
        <f t="shared" si="10"/>
        <v>5.9876823338735834E-2</v>
      </c>
      <c r="AN193">
        <f t="shared" si="11"/>
        <v>5.0217179902755281E-2</v>
      </c>
    </row>
    <row r="194" spans="1:40" x14ac:dyDescent="0.2">
      <c r="A194" t="s">
        <v>64</v>
      </c>
      <c r="B194">
        <v>2017</v>
      </c>
      <c r="C194">
        <v>121.45515706940201</v>
      </c>
      <c r="D194">
        <v>56.625940482270067</v>
      </c>
      <c r="E194">
        <v>4.5306496474117051</v>
      </c>
      <c r="F194">
        <v>2.0086358777550308</v>
      </c>
      <c r="G194">
        <v>7.356023080464805</v>
      </c>
      <c r="H194">
        <v>3.1915590622416841</v>
      </c>
      <c r="I194">
        <v>0.1597574558714904</v>
      </c>
      <c r="J194">
        <v>0.42706139999999998</v>
      </c>
      <c r="K194">
        <v>0.40200000000000002</v>
      </c>
      <c r="L194">
        <v>11.1</v>
      </c>
      <c r="M194">
        <v>0.1741022315543857</v>
      </c>
      <c r="N194">
        <v>550</v>
      </c>
      <c r="O194">
        <v>20</v>
      </c>
      <c r="P194">
        <v>29.858194481000002</v>
      </c>
      <c r="Q194">
        <v>42.440530529</v>
      </c>
      <c r="R194">
        <v>24.175246905000002</v>
      </c>
      <c r="S194">
        <v>3.4273786319999999</v>
      </c>
      <c r="T194">
        <v>9.864945300000727E-2</v>
      </c>
      <c r="U194" t="s">
        <v>64</v>
      </c>
      <c r="V194">
        <v>2577.521995804475</v>
      </c>
      <c r="W194">
        <v>33.042481336502632</v>
      </c>
      <c r="X194">
        <v>13.31</v>
      </c>
      <c r="AA194">
        <v>8.2899999999999991</v>
      </c>
      <c r="AD194">
        <v>762.01</v>
      </c>
      <c r="AF194">
        <v>74.52</v>
      </c>
      <c r="AH194">
        <v>4.0199999999999996</v>
      </c>
      <c r="AI194">
        <v>14.89</v>
      </c>
      <c r="AK194" t="s">
        <v>131</v>
      </c>
      <c r="AL194">
        <f t="shared" si="9"/>
        <v>12.967685355470001</v>
      </c>
      <c r="AM194">
        <f t="shared" si="10"/>
        <v>6.1881114953740685E-2</v>
      </c>
      <c r="AN194">
        <f t="shared" si="11"/>
        <v>3.7303065236026146E-2</v>
      </c>
    </row>
    <row r="195" spans="1:40" x14ac:dyDescent="0.2">
      <c r="A195" t="s">
        <v>64</v>
      </c>
      <c r="B195">
        <v>2018</v>
      </c>
      <c r="C195">
        <v>121.5686134539264</v>
      </c>
      <c r="D195">
        <v>52.36623347883971</v>
      </c>
      <c r="E195">
        <v>4.7952857362110999</v>
      </c>
      <c r="F195">
        <v>1.9220404681426699</v>
      </c>
      <c r="G195">
        <v>7.2241595311434796</v>
      </c>
      <c r="H195">
        <v>3.007092097326276</v>
      </c>
      <c r="I195">
        <v>0.14455457559847379</v>
      </c>
      <c r="J195">
        <v>0.43667479999999997</v>
      </c>
      <c r="K195">
        <v>0.40200000000000002</v>
      </c>
      <c r="L195">
        <v>10.5</v>
      </c>
      <c r="M195">
        <v>0.16668352081821289</v>
      </c>
      <c r="N195">
        <v>551</v>
      </c>
      <c r="O195">
        <v>20</v>
      </c>
      <c r="P195">
        <v>26.645114561</v>
      </c>
      <c r="Q195">
        <v>45.565984964000002</v>
      </c>
      <c r="R195">
        <v>24.908390657999998</v>
      </c>
      <c r="S195">
        <v>2.8070135820000002</v>
      </c>
      <c r="T195">
        <v>7.3496234999993248E-2</v>
      </c>
      <c r="U195" t="s">
        <v>64</v>
      </c>
      <c r="V195">
        <v>2588.8647712356528</v>
      </c>
      <c r="W195">
        <v>34.435631063727833</v>
      </c>
      <c r="X195">
        <v>14.49</v>
      </c>
      <c r="AA195">
        <v>9.4600000000000009</v>
      </c>
      <c r="AD195">
        <v>761.22</v>
      </c>
      <c r="AF195">
        <v>75</v>
      </c>
      <c r="AH195">
        <v>4.04</v>
      </c>
      <c r="AI195">
        <v>14.43</v>
      </c>
      <c r="AK195" t="s">
        <v>131</v>
      </c>
      <c r="AL195">
        <f t="shared" si="9"/>
        <v>12.915839273629999</v>
      </c>
      <c r="AM195">
        <f t="shared" si="10"/>
        <v>6.0613623018203146E-2</v>
      </c>
      <c r="AN195">
        <f t="shared" si="11"/>
        <v>3.9445096887844963E-2</v>
      </c>
    </row>
    <row r="196" spans="1:40" x14ac:dyDescent="0.2">
      <c r="A196" t="s">
        <v>64</v>
      </c>
      <c r="B196">
        <v>2019</v>
      </c>
      <c r="C196">
        <v>126.7440182641126</v>
      </c>
      <c r="D196">
        <v>50.212145918149652</v>
      </c>
      <c r="E196">
        <v>4.2190170911798113</v>
      </c>
      <c r="F196">
        <v>1.858987807695679</v>
      </c>
      <c r="G196">
        <v>6.715372147228293</v>
      </c>
      <c r="H196">
        <v>2.5547803871474888</v>
      </c>
      <c r="I196">
        <v>0.125702985091803</v>
      </c>
      <c r="J196">
        <v>0.44633539999999999</v>
      </c>
      <c r="K196">
        <v>0.4</v>
      </c>
      <c r="L196">
        <v>10.6</v>
      </c>
      <c r="M196">
        <v>0.15931368459690329</v>
      </c>
      <c r="N196">
        <v>479</v>
      </c>
      <c r="O196">
        <v>2</v>
      </c>
      <c r="P196">
        <v>26.238513070548869</v>
      </c>
      <c r="Q196">
        <v>47.138594224929399</v>
      </c>
      <c r="R196">
        <v>23.231201115819331</v>
      </c>
      <c r="S196">
        <v>3.3460014909524052</v>
      </c>
      <c r="T196">
        <v>4.5690097749996987E-2</v>
      </c>
      <c r="U196" t="s">
        <v>64</v>
      </c>
      <c r="V196">
        <v>2650.2137128416498</v>
      </c>
      <c r="W196">
        <v>35.873160677782842</v>
      </c>
      <c r="X196">
        <v>14.13</v>
      </c>
      <c r="AA196">
        <v>9.08</v>
      </c>
      <c r="AD196">
        <v>761.34</v>
      </c>
      <c r="AF196">
        <v>74.569999999999993</v>
      </c>
      <c r="AH196">
        <v>3.75</v>
      </c>
      <c r="AI196">
        <v>13.77</v>
      </c>
      <c r="AK196" t="s">
        <v>131</v>
      </c>
      <c r="AL196">
        <f t="shared" si="9"/>
        <v>12.922194070658993</v>
      </c>
      <c r="AM196">
        <f t="shared" si="10"/>
        <v>5.3975526624573951E-2</v>
      </c>
      <c r="AN196">
        <f t="shared" si="11"/>
        <v>3.3287701849471982E-2</v>
      </c>
    </row>
    <row r="197" spans="1:40" x14ac:dyDescent="0.2">
      <c r="A197" t="s">
        <v>64</v>
      </c>
      <c r="B197">
        <v>2020</v>
      </c>
      <c r="C197">
        <v>129.538353001042</v>
      </c>
      <c r="D197">
        <v>49.562484957171783</v>
      </c>
      <c r="E197">
        <v>4.4066897108993066</v>
      </c>
      <c r="F197">
        <v>2.05622026894022</v>
      </c>
      <c r="G197">
        <v>6.2990466679188408</v>
      </c>
      <c r="H197">
        <v>2.5266665515512221</v>
      </c>
      <c r="I197">
        <v>0.149767543153315</v>
      </c>
      <c r="J197">
        <v>0.45948109999999998</v>
      </c>
      <c r="K197">
        <v>0.39700000000000002</v>
      </c>
      <c r="L197">
        <v>10.6</v>
      </c>
      <c r="M197">
        <v>0.15332091150621779</v>
      </c>
      <c r="N197">
        <v>588</v>
      </c>
      <c r="O197">
        <v>17</v>
      </c>
      <c r="P197">
        <v>27.222041776000001</v>
      </c>
      <c r="Q197">
        <v>46.028069940999998</v>
      </c>
      <c r="R197">
        <v>23.17367724</v>
      </c>
      <c r="S197">
        <v>3.5037246839999998</v>
      </c>
      <c r="T197">
        <v>7.2486358999995559E-2</v>
      </c>
      <c r="U197" t="s">
        <v>64</v>
      </c>
      <c r="V197">
        <v>2582.418634423399</v>
      </c>
      <c r="W197">
        <v>36.591466532618021</v>
      </c>
      <c r="X197">
        <v>14.07</v>
      </c>
      <c r="AA197">
        <v>7.93</v>
      </c>
      <c r="AD197">
        <v>762</v>
      </c>
      <c r="AF197">
        <v>69.900000000000006</v>
      </c>
      <c r="AH197">
        <v>3.87</v>
      </c>
      <c r="AI197">
        <v>14.24</v>
      </c>
      <c r="AK197" t="s">
        <v>131</v>
      </c>
      <c r="AL197">
        <f t="shared" si="9"/>
        <v>12.934294531049998</v>
      </c>
      <c r="AM197">
        <f t="shared" si="10"/>
        <v>4.978304927977803E-2</v>
      </c>
      <c r="AN197">
        <f t="shared" si="11"/>
        <v>3.4018417007848321E-2</v>
      </c>
    </row>
    <row r="198" spans="1:40" x14ac:dyDescent="0.2">
      <c r="A198" t="s">
        <v>65</v>
      </c>
      <c r="B198">
        <v>2022</v>
      </c>
      <c r="C198">
        <v>159.5091036527343</v>
      </c>
      <c r="D198">
        <v>75.299528135093823</v>
      </c>
      <c r="E198">
        <v>9.8168066250140917</v>
      </c>
      <c r="F198">
        <v>3.9736360625502831</v>
      </c>
      <c r="G198">
        <v>6.7779378124205714</v>
      </c>
      <c r="H198">
        <v>3.3049448837422619</v>
      </c>
      <c r="I198">
        <v>8.0523021531855907E-2</v>
      </c>
      <c r="J198">
        <v>1.1641887</v>
      </c>
      <c r="K198">
        <v>0.38300000000000001</v>
      </c>
      <c r="L198">
        <v>14</v>
      </c>
      <c r="M198">
        <v>0.1527955842575392</v>
      </c>
      <c r="N198">
        <v>246</v>
      </c>
      <c r="O198">
        <v>7</v>
      </c>
      <c r="P198">
        <v>28.73582763797042</v>
      </c>
      <c r="Q198">
        <v>44.180089959038909</v>
      </c>
      <c r="R198">
        <v>19.004443979747801</v>
      </c>
      <c r="S198">
        <v>7.4402349995806363</v>
      </c>
      <c r="T198">
        <v>0.63940342366223035</v>
      </c>
      <c r="U198" t="s">
        <v>65</v>
      </c>
      <c r="V198">
        <v>941.18061401821888</v>
      </c>
      <c r="W198">
        <v>31.58198565060626</v>
      </c>
      <c r="X198">
        <v>-5.26</v>
      </c>
      <c r="AA198">
        <v>-8.26</v>
      </c>
      <c r="AD198">
        <v>757.65</v>
      </c>
      <c r="AF198">
        <v>81.900000000000006</v>
      </c>
      <c r="AH198">
        <v>6.38</v>
      </c>
      <c r="AI198">
        <v>18.440000000000001</v>
      </c>
      <c r="AK198" t="s">
        <v>132</v>
      </c>
      <c r="AL198">
        <f t="shared" si="9"/>
        <v>12.839471965051626</v>
      </c>
      <c r="AM198">
        <f t="shared" si="10"/>
        <v>4.2997300322644372E-2</v>
      </c>
      <c r="AN198">
        <f t="shared" si="11"/>
        <v>6.1543864269879948E-2</v>
      </c>
    </row>
    <row r="199" spans="1:40" x14ac:dyDescent="0.2">
      <c r="A199" t="s">
        <v>65</v>
      </c>
      <c r="B199">
        <v>2021</v>
      </c>
      <c r="C199">
        <v>164.66618742469529</v>
      </c>
      <c r="D199">
        <v>78.441149354371419</v>
      </c>
      <c r="E199">
        <v>10.86873170234662</v>
      </c>
      <c r="F199">
        <v>3.729123473904365</v>
      </c>
      <c r="G199">
        <v>6.2502210337270334</v>
      </c>
      <c r="H199">
        <v>2.2514801818971888</v>
      </c>
      <c r="I199">
        <v>8.7538109716064794E-2</v>
      </c>
      <c r="J199">
        <v>1.0918946</v>
      </c>
      <c r="K199">
        <v>0.38600000000000001</v>
      </c>
      <c r="L199">
        <v>15.9</v>
      </c>
      <c r="M199">
        <v>0.157601330637681</v>
      </c>
      <c r="N199">
        <v>338</v>
      </c>
      <c r="O199">
        <v>7</v>
      </c>
      <c r="P199">
        <v>29.752140543040088</v>
      </c>
      <c r="Q199">
        <v>42.783948641660601</v>
      </c>
      <c r="R199">
        <v>19.93280478088969</v>
      </c>
      <c r="S199">
        <v>7.0743609230492348</v>
      </c>
      <c r="T199">
        <v>0.45674511136037671</v>
      </c>
      <c r="U199" t="s">
        <v>65</v>
      </c>
      <c r="V199">
        <v>881.16151724828057</v>
      </c>
      <c r="W199">
        <v>27.186678271456781</v>
      </c>
      <c r="X199">
        <v>-8.64</v>
      </c>
      <c r="AA199">
        <v>-11.37</v>
      </c>
      <c r="AD199">
        <v>757.83</v>
      </c>
      <c r="AF199">
        <v>81.53</v>
      </c>
      <c r="AH199">
        <v>5.87</v>
      </c>
      <c r="AI199">
        <v>17.36</v>
      </c>
      <c r="AK199" t="s">
        <v>132</v>
      </c>
      <c r="AL199">
        <f t="shared" si="9"/>
        <v>12.872305218298601</v>
      </c>
      <c r="AM199">
        <f t="shared" si="10"/>
        <v>3.8488527866970053E-2</v>
      </c>
      <c r="AN199">
        <f t="shared" si="11"/>
        <v>6.6004635634848111E-2</v>
      </c>
    </row>
    <row r="200" spans="1:40" x14ac:dyDescent="0.2">
      <c r="A200" t="s">
        <v>65</v>
      </c>
      <c r="B200">
        <v>2016</v>
      </c>
      <c r="C200">
        <v>199.7146335762553</v>
      </c>
      <c r="D200">
        <v>98.325827056783723</v>
      </c>
      <c r="E200">
        <v>11.512337388234389</v>
      </c>
      <c r="F200">
        <v>4.6677295228659439</v>
      </c>
      <c r="G200">
        <v>5.818963261689384</v>
      </c>
      <c r="H200">
        <v>2.2850245422101589</v>
      </c>
      <c r="I200">
        <v>0.1011690255329689</v>
      </c>
      <c r="J200">
        <v>0.6338313000000001</v>
      </c>
      <c r="K200">
        <v>0.39700000000000002</v>
      </c>
      <c r="L200">
        <v>18.399999999999999</v>
      </c>
      <c r="M200">
        <v>0.1962844793099747</v>
      </c>
      <c r="N200">
        <v>411</v>
      </c>
      <c r="O200">
        <v>9</v>
      </c>
      <c r="P200">
        <v>28.275870267999998</v>
      </c>
      <c r="Q200">
        <v>40.290051056999999</v>
      </c>
      <c r="R200">
        <v>24.639666290000001</v>
      </c>
      <c r="S200">
        <v>6.3307373949999999</v>
      </c>
      <c r="T200">
        <v>0.46367498999998702</v>
      </c>
      <c r="U200" t="s">
        <v>65</v>
      </c>
      <c r="X200">
        <v>-3.23</v>
      </c>
      <c r="AA200">
        <v>-7.92</v>
      </c>
      <c r="AD200">
        <v>761.41</v>
      </c>
      <c r="AF200">
        <v>74.33</v>
      </c>
      <c r="AH200">
        <v>6.37</v>
      </c>
      <c r="AI200">
        <v>12.9</v>
      </c>
      <c r="AK200" t="s">
        <v>132</v>
      </c>
      <c r="AL200">
        <f t="shared" si="9"/>
        <v>12.77776383466</v>
      </c>
      <c r="AM200">
        <f t="shared" si="10"/>
        <v>2.9642956959195086E-2</v>
      </c>
      <c r="AN200">
        <f t="shared" si="11"/>
        <v>5.764393515930686E-2</v>
      </c>
    </row>
    <row r="201" spans="1:40" x14ac:dyDescent="0.2">
      <c r="A201" t="s">
        <v>65</v>
      </c>
      <c r="B201">
        <v>2017</v>
      </c>
      <c r="C201">
        <v>177.668355417398</v>
      </c>
      <c r="D201">
        <v>91.524330843970759</v>
      </c>
      <c r="E201">
        <v>9.6546413749377873</v>
      </c>
      <c r="F201">
        <v>3.940457016500186</v>
      </c>
      <c r="G201">
        <v>5.7385296356798818</v>
      </c>
      <c r="H201">
        <v>2.1389065005715922</v>
      </c>
      <c r="I201">
        <v>3.1301070740071997E-2</v>
      </c>
      <c r="J201">
        <v>0.68644459999999996</v>
      </c>
      <c r="K201">
        <v>0.39100000000000001</v>
      </c>
      <c r="L201">
        <v>17.600000000000001</v>
      </c>
      <c r="M201">
        <v>0.18733302398341731</v>
      </c>
      <c r="N201">
        <v>406</v>
      </c>
      <c r="O201">
        <v>8</v>
      </c>
      <c r="P201">
        <v>28.315408735999998</v>
      </c>
      <c r="Q201">
        <v>41.768820652000002</v>
      </c>
      <c r="R201">
        <v>22.534580582</v>
      </c>
      <c r="S201">
        <v>6.7013264680000004</v>
      </c>
      <c r="T201">
        <v>0.6798635619999942</v>
      </c>
      <c r="U201" t="s">
        <v>65</v>
      </c>
      <c r="V201">
        <v>2598.0292475671158</v>
      </c>
      <c r="W201">
        <v>28.697198652609899</v>
      </c>
      <c r="AK201" t="s">
        <v>132</v>
      </c>
      <c r="AL201">
        <f t="shared" si="9"/>
        <v>12.786375783779999</v>
      </c>
      <c r="AM201">
        <f t="shared" si="10"/>
        <v>3.2475286287559954E-2</v>
      </c>
      <c r="AN201">
        <f t="shared" si="11"/>
        <v>5.4340804541450523E-2</v>
      </c>
    </row>
    <row r="202" spans="1:40" x14ac:dyDescent="0.2">
      <c r="A202" t="s">
        <v>65</v>
      </c>
      <c r="B202">
        <v>2018</v>
      </c>
      <c r="C202">
        <v>159.57603988462361</v>
      </c>
      <c r="D202">
        <v>81.727879431127519</v>
      </c>
      <c r="E202">
        <v>9.6471506836266485</v>
      </c>
      <c r="F202">
        <v>3.5807442177064668</v>
      </c>
      <c r="G202">
        <v>5.4997450023413901</v>
      </c>
      <c r="H202">
        <v>2.0476294604166112</v>
      </c>
      <c r="I202">
        <v>9.0387718116862206E-2</v>
      </c>
      <c r="J202">
        <v>0.82453730000000003</v>
      </c>
      <c r="K202">
        <v>0.39100000000000001</v>
      </c>
      <c r="L202">
        <v>17.100000000000001</v>
      </c>
      <c r="M202">
        <v>0.17831959450289431</v>
      </c>
      <c r="N202">
        <v>391</v>
      </c>
      <c r="O202">
        <v>6</v>
      </c>
      <c r="P202">
        <v>28.745732926999999</v>
      </c>
      <c r="Q202">
        <v>41.415010498999997</v>
      </c>
      <c r="R202">
        <v>22.801495973000002</v>
      </c>
      <c r="S202">
        <v>6.5791762499999997</v>
      </c>
      <c r="T202">
        <v>0.45858435099998468</v>
      </c>
      <c r="U202" t="s">
        <v>65</v>
      </c>
      <c r="V202">
        <v>2556.6590435124508</v>
      </c>
      <c r="W202">
        <v>29.47490525435326</v>
      </c>
      <c r="X202">
        <v>-16.7</v>
      </c>
      <c r="AA202">
        <v>-18.97</v>
      </c>
      <c r="AD202">
        <v>757.77</v>
      </c>
      <c r="AF202">
        <v>82.88</v>
      </c>
      <c r="AH202">
        <v>12.82</v>
      </c>
      <c r="AI202">
        <v>19</v>
      </c>
      <c r="AK202" t="s">
        <v>132</v>
      </c>
      <c r="AL202">
        <f t="shared" si="9"/>
        <v>12.814445097489997</v>
      </c>
      <c r="AM202">
        <f t="shared" si="10"/>
        <v>3.503115332665243E-2</v>
      </c>
      <c r="AN202">
        <f t="shared" si="11"/>
        <v>6.045488214021174E-2</v>
      </c>
    </row>
    <row r="203" spans="1:40" x14ac:dyDescent="0.2">
      <c r="A203" t="s">
        <v>65</v>
      </c>
      <c r="B203">
        <v>2020</v>
      </c>
      <c r="C203">
        <v>167.99621806154721</v>
      </c>
      <c r="D203">
        <v>72.512738747948106</v>
      </c>
      <c r="E203">
        <v>8.9803593888192079</v>
      </c>
      <c r="F203">
        <v>3.590050431660825</v>
      </c>
      <c r="G203">
        <v>5.1530655855811851</v>
      </c>
      <c r="H203">
        <v>2.0654128819661892</v>
      </c>
      <c r="I203">
        <v>4.1866477337152402E-2</v>
      </c>
      <c r="J203">
        <v>0.95042740000000003</v>
      </c>
      <c r="K203">
        <v>0.38400000000000001</v>
      </c>
      <c r="L203">
        <v>17</v>
      </c>
      <c r="M203">
        <v>0.16320018940976569</v>
      </c>
      <c r="N203">
        <v>373</v>
      </c>
      <c r="O203">
        <v>7</v>
      </c>
      <c r="P203">
        <v>32.880604675000001</v>
      </c>
      <c r="Q203">
        <v>40.044195438999999</v>
      </c>
      <c r="R203">
        <v>20.370962589000001</v>
      </c>
      <c r="S203">
        <v>6.1467860740000004</v>
      </c>
      <c r="T203">
        <v>0.55745122300000105</v>
      </c>
      <c r="U203" t="s">
        <v>65</v>
      </c>
      <c r="V203">
        <v>2556.3685708760281</v>
      </c>
      <c r="W203">
        <v>30.21520302839345</v>
      </c>
      <c r="X203">
        <v>-3.72</v>
      </c>
      <c r="AA203">
        <v>-7.25</v>
      </c>
      <c r="AD203">
        <v>756.29</v>
      </c>
      <c r="AF203">
        <v>78.94</v>
      </c>
      <c r="AH203">
        <v>7.02</v>
      </c>
      <c r="AI203">
        <v>17.8</v>
      </c>
      <c r="AK203" t="s">
        <v>132</v>
      </c>
      <c r="AL203">
        <f t="shared" si="9"/>
        <v>12.954150788689999</v>
      </c>
      <c r="AM203">
        <f t="shared" si="10"/>
        <v>3.0922910782522014E-2</v>
      </c>
      <c r="AN203">
        <f t="shared" si="11"/>
        <v>5.3455723542116626E-2</v>
      </c>
    </row>
    <row r="204" spans="1:40" x14ac:dyDescent="0.2">
      <c r="A204" t="s">
        <v>65</v>
      </c>
      <c r="B204">
        <v>2019</v>
      </c>
      <c r="C204">
        <v>161.89832659829801</v>
      </c>
      <c r="D204">
        <v>76.933889950891185</v>
      </c>
      <c r="E204">
        <v>9.0291458741152635</v>
      </c>
      <c r="F204">
        <v>3.6394938667917409</v>
      </c>
      <c r="G204">
        <v>5.1252145944399947</v>
      </c>
      <c r="H204">
        <v>2.352101198806134</v>
      </c>
      <c r="I204">
        <v>5.5671034291269399E-2</v>
      </c>
      <c r="J204">
        <v>0.93758699999999995</v>
      </c>
      <c r="K204">
        <v>0.38900000000000001</v>
      </c>
      <c r="L204">
        <v>17.3</v>
      </c>
      <c r="M204">
        <v>0.1700452175314402</v>
      </c>
      <c r="N204">
        <v>274</v>
      </c>
      <c r="O204">
        <v>7</v>
      </c>
      <c r="P204">
        <v>29.102270377984951</v>
      </c>
      <c r="Q204">
        <v>42.947428374142689</v>
      </c>
      <c r="R204">
        <v>21.079580358550821</v>
      </c>
      <c r="S204">
        <v>6.3708511393444196</v>
      </c>
      <c r="T204">
        <v>0.49986974997712252</v>
      </c>
      <c r="U204" t="s">
        <v>65</v>
      </c>
      <c r="V204">
        <v>2574.3080820978962</v>
      </c>
      <c r="W204">
        <v>27.372818781173301</v>
      </c>
      <c r="X204">
        <v>-4.34</v>
      </c>
      <c r="AA204">
        <v>-7.46</v>
      </c>
      <c r="AD204">
        <v>756.36</v>
      </c>
      <c r="AF204">
        <v>80.66</v>
      </c>
      <c r="AH204">
        <v>6.42</v>
      </c>
      <c r="AI204">
        <v>18.149999999999999</v>
      </c>
      <c r="AK204" t="s">
        <v>132</v>
      </c>
      <c r="AL204">
        <f t="shared" si="9"/>
        <v>12.860631477316964</v>
      </c>
      <c r="AM204">
        <f t="shared" si="10"/>
        <v>3.2000859660434124E-2</v>
      </c>
      <c r="AN204">
        <f t="shared" si="11"/>
        <v>5.5770470664087669E-2</v>
      </c>
    </row>
    <row r="205" spans="1:40" x14ac:dyDescent="0.2">
      <c r="A205" t="s">
        <v>66</v>
      </c>
      <c r="B205">
        <v>2017</v>
      </c>
      <c r="C205">
        <v>113.54127879977069</v>
      </c>
      <c r="D205">
        <v>54.263014546838981</v>
      </c>
      <c r="E205">
        <v>4.272637132302183</v>
      </c>
      <c r="F205">
        <v>2.3585793716870072</v>
      </c>
      <c r="G205">
        <v>5.5748239694420159</v>
      </c>
      <c r="H205">
        <v>1.7937754423251511</v>
      </c>
      <c r="I205">
        <v>0.13074165031524421</v>
      </c>
      <c r="J205">
        <v>0.19986329999999999</v>
      </c>
      <c r="K205">
        <v>0.33800000000000002</v>
      </c>
      <c r="L205">
        <v>19.399999999999999</v>
      </c>
      <c r="M205">
        <v>0.1673883399918662</v>
      </c>
      <c r="N205">
        <v>240</v>
      </c>
      <c r="O205">
        <v>7</v>
      </c>
      <c r="P205">
        <v>33.576413242999998</v>
      </c>
      <c r="Q205">
        <v>43.144140102999998</v>
      </c>
      <c r="R205">
        <v>21.469350984999998</v>
      </c>
      <c r="S205">
        <v>1.735441019</v>
      </c>
      <c r="T205">
        <v>7.4654649999985168E-2</v>
      </c>
      <c r="U205" t="s">
        <v>122</v>
      </c>
      <c r="V205">
        <v>2562.6462483525811</v>
      </c>
      <c r="W205">
        <v>43.91984973191763</v>
      </c>
      <c r="AK205" t="s">
        <v>131</v>
      </c>
      <c r="AL205">
        <f t="shared" si="9"/>
        <v>13.166004685899997</v>
      </c>
      <c r="AM205">
        <f t="shared" si="10"/>
        <v>5.0251024826125021E-2</v>
      </c>
      <c r="AN205">
        <f t="shared" si="11"/>
        <v>3.7630694118188951E-2</v>
      </c>
    </row>
    <row r="206" spans="1:40" x14ac:dyDescent="0.2">
      <c r="A206" t="s">
        <v>66</v>
      </c>
      <c r="B206">
        <v>2018</v>
      </c>
      <c r="C206">
        <v>117.1219988598189</v>
      </c>
      <c r="D206">
        <v>52.300976469524713</v>
      </c>
      <c r="E206">
        <v>4.9118711041415963</v>
      </c>
      <c r="F206">
        <v>2.5761196322785178</v>
      </c>
      <c r="G206">
        <v>5.4187343989306749</v>
      </c>
      <c r="H206">
        <v>2.2364689708219179</v>
      </c>
      <c r="I206">
        <v>9.4057106249519906E-2</v>
      </c>
      <c r="J206">
        <v>0.2265104</v>
      </c>
      <c r="K206">
        <v>0.34499999999999997</v>
      </c>
      <c r="L206">
        <v>17.3</v>
      </c>
      <c r="M206">
        <v>0.1588747220309065</v>
      </c>
      <c r="N206">
        <v>248</v>
      </c>
      <c r="O206">
        <v>7</v>
      </c>
      <c r="P206">
        <v>33.635415541999997</v>
      </c>
      <c r="Q206">
        <v>42.063430181000001</v>
      </c>
      <c r="R206">
        <v>22.330306565000001</v>
      </c>
      <c r="S206">
        <v>1.8855314329999999</v>
      </c>
      <c r="T206">
        <v>8.5316278999997053E-2</v>
      </c>
      <c r="U206" t="s">
        <v>122</v>
      </c>
      <c r="V206">
        <v>2548.8618344481588</v>
      </c>
      <c r="W206">
        <v>42.660153021530597</v>
      </c>
      <c r="AK206" t="s">
        <v>131</v>
      </c>
      <c r="AL206">
        <f t="shared" si="9"/>
        <v>13.143002457109999</v>
      </c>
      <c r="AM206">
        <f t="shared" si="10"/>
        <v>4.7068796288034238E-2</v>
      </c>
      <c r="AN206">
        <f t="shared" si="11"/>
        <v>4.1938074417774591E-2</v>
      </c>
    </row>
    <row r="207" spans="1:40" x14ac:dyDescent="0.2">
      <c r="A207" t="s">
        <v>66</v>
      </c>
      <c r="B207">
        <v>2021</v>
      </c>
      <c r="C207">
        <v>108.9989471901757</v>
      </c>
      <c r="D207">
        <v>58.887934126288798</v>
      </c>
      <c r="E207">
        <v>5.0642150887315687</v>
      </c>
      <c r="F207">
        <v>2.5557721008551839</v>
      </c>
      <c r="G207">
        <v>5.3744837182592571</v>
      </c>
      <c r="H207">
        <v>3.5391658927480232</v>
      </c>
      <c r="I207">
        <v>0.26293951654888731</v>
      </c>
      <c r="J207">
        <v>0.31803229999999999</v>
      </c>
      <c r="K207">
        <v>0.34200000000000003</v>
      </c>
      <c r="L207">
        <v>16.5</v>
      </c>
      <c r="M207">
        <v>0.140045964398296</v>
      </c>
      <c r="N207">
        <v>245</v>
      </c>
      <c r="O207">
        <v>6</v>
      </c>
      <c r="P207">
        <v>30.702064653173181</v>
      </c>
      <c r="Q207">
        <v>44.215721407691809</v>
      </c>
      <c r="R207">
        <v>22.516632004809789</v>
      </c>
      <c r="S207">
        <v>2.5551731078258322</v>
      </c>
      <c r="T207">
        <v>1.040882649938624E-2</v>
      </c>
      <c r="U207" t="s">
        <v>122</v>
      </c>
      <c r="V207">
        <v>799.46052816735744</v>
      </c>
      <c r="W207">
        <v>44.821374777844731</v>
      </c>
      <c r="AK207" t="s">
        <v>131</v>
      </c>
      <c r="AL207">
        <f t="shared" si="9"/>
        <v>13.060564934269289</v>
      </c>
      <c r="AM207">
        <f t="shared" si="10"/>
        <v>5.1719978771650535E-2</v>
      </c>
      <c r="AN207">
        <f t="shared" si="11"/>
        <v>4.6461137646547995E-2</v>
      </c>
    </row>
    <row r="208" spans="1:40" x14ac:dyDescent="0.2">
      <c r="A208" t="s">
        <v>66</v>
      </c>
      <c r="B208">
        <v>2020</v>
      </c>
      <c r="C208">
        <v>113.3627031373685</v>
      </c>
      <c r="D208">
        <v>56.649981020818537</v>
      </c>
      <c r="E208">
        <v>4.5121304680172036</v>
      </c>
      <c r="F208">
        <v>2.4939585553235299</v>
      </c>
      <c r="G208">
        <v>5.0924856035327419</v>
      </c>
      <c r="H208">
        <v>3.1997958823018871</v>
      </c>
      <c r="I208">
        <v>0.245735958281354</v>
      </c>
      <c r="J208">
        <v>0.26722079999999998</v>
      </c>
      <c r="K208">
        <v>0.33</v>
      </c>
      <c r="L208">
        <v>17.5</v>
      </c>
      <c r="M208">
        <v>0.14471920892589091</v>
      </c>
      <c r="N208">
        <v>242</v>
      </c>
      <c r="O208">
        <v>7</v>
      </c>
      <c r="P208">
        <v>31.518609888</v>
      </c>
      <c r="Q208">
        <v>44.747704951000003</v>
      </c>
      <c r="R208">
        <v>21.923149308999999</v>
      </c>
      <c r="S208">
        <v>1.791018996</v>
      </c>
      <c r="T208">
        <v>1.9516855999995641E-2</v>
      </c>
      <c r="U208" t="s">
        <v>122</v>
      </c>
      <c r="V208">
        <v>2488.410885514606</v>
      </c>
      <c r="W208">
        <v>45.905699224241062</v>
      </c>
      <c r="AK208" t="s">
        <v>131</v>
      </c>
      <c r="AL208">
        <f t="shared" si="9"/>
        <v>13.118511934700001</v>
      </c>
      <c r="AM208">
        <f t="shared" si="10"/>
        <v>4.7089751867908855E-2</v>
      </c>
      <c r="AN208">
        <f t="shared" si="11"/>
        <v>3.9802601236048334E-2</v>
      </c>
    </row>
    <row r="209" spans="1:40" x14ac:dyDescent="0.2">
      <c r="A209" t="s">
        <v>66</v>
      </c>
      <c r="B209">
        <v>2022</v>
      </c>
      <c r="C209">
        <v>107.60238642301159</v>
      </c>
      <c r="D209">
        <v>60.028243101956349</v>
      </c>
      <c r="E209">
        <v>6.1623196421090469</v>
      </c>
      <c r="F209">
        <v>2.780811468750048</v>
      </c>
      <c r="G209">
        <v>4.8573578355447777</v>
      </c>
      <c r="H209">
        <v>2.81188198795396</v>
      </c>
      <c r="I209">
        <v>0.2692778331005633</v>
      </c>
      <c r="J209">
        <v>0.34092460000000002</v>
      </c>
      <c r="K209">
        <v>0.32600000000000001</v>
      </c>
      <c r="L209">
        <v>14.2</v>
      </c>
      <c r="M209">
        <v>0.1376139187640561</v>
      </c>
      <c r="N209">
        <v>255</v>
      </c>
      <c r="O209">
        <v>6</v>
      </c>
      <c r="P209">
        <v>33.094920342400677</v>
      </c>
      <c r="Q209">
        <v>40.551721582579773</v>
      </c>
      <c r="R209">
        <v>24.839610905035201</v>
      </c>
      <c r="S209">
        <v>1.4306236716555309</v>
      </c>
      <c r="T209">
        <v>8.3123498328816936E-2</v>
      </c>
      <c r="U209" t="s">
        <v>122</v>
      </c>
      <c r="V209">
        <v>797.4619871864179</v>
      </c>
      <c r="W209">
        <v>44.707188554474477</v>
      </c>
      <c r="AK209" t="s">
        <v>131</v>
      </c>
      <c r="AL209">
        <f t="shared" si="9"/>
        <v>13.100400127031497</v>
      </c>
      <c r="AM209">
        <f t="shared" si="10"/>
        <v>4.7644256220222371E-2</v>
      </c>
      <c r="AN209">
        <f t="shared" si="11"/>
        <v>5.7269358486933965E-2</v>
      </c>
    </row>
    <row r="210" spans="1:40" x14ac:dyDescent="0.2">
      <c r="A210" t="s">
        <v>66</v>
      </c>
      <c r="B210">
        <v>2016</v>
      </c>
      <c r="C210">
        <v>124.51851129407591</v>
      </c>
      <c r="D210">
        <v>51.496875370325512</v>
      </c>
      <c r="E210">
        <v>3.3558700984633258</v>
      </c>
      <c r="F210">
        <v>2.7948105663764888</v>
      </c>
      <c r="G210">
        <v>4.4884762566946987</v>
      </c>
      <c r="H210">
        <v>1.6569608611162669</v>
      </c>
      <c r="I210">
        <v>0.19401124006741099</v>
      </c>
      <c r="J210">
        <v>0.18911600000000001</v>
      </c>
      <c r="K210">
        <v>0.32700000000000001</v>
      </c>
      <c r="L210">
        <v>23.3</v>
      </c>
      <c r="M210">
        <v>0.17520166307991861</v>
      </c>
      <c r="N210">
        <v>230</v>
      </c>
      <c r="O210">
        <v>7</v>
      </c>
      <c r="P210">
        <v>33.030636794000003</v>
      </c>
      <c r="Q210">
        <v>42.50854743</v>
      </c>
      <c r="R210">
        <v>22.578829208999998</v>
      </c>
      <c r="S210">
        <v>1.8443323810000001</v>
      </c>
      <c r="T210">
        <v>3.7654186000011691E-2</v>
      </c>
      <c r="U210" t="s">
        <v>122</v>
      </c>
      <c r="AK210" t="s">
        <v>131</v>
      </c>
      <c r="AL210">
        <f t="shared" si="9"/>
        <v>13.131873979720002</v>
      </c>
      <c r="AM210">
        <f t="shared" si="10"/>
        <v>3.760475007369353E-2</v>
      </c>
      <c r="AN210">
        <f t="shared" si="11"/>
        <v>2.6950772729186851E-2</v>
      </c>
    </row>
    <row r="211" spans="1:40" x14ac:dyDescent="0.2">
      <c r="A211" t="s">
        <v>66</v>
      </c>
      <c r="B211">
        <v>2019</v>
      </c>
      <c r="C211">
        <v>109.7332486669756</v>
      </c>
      <c r="D211">
        <v>52.980984591629543</v>
      </c>
      <c r="E211">
        <v>4.4931055152739434</v>
      </c>
      <c r="F211">
        <v>2.7146935534658629</v>
      </c>
      <c r="G211">
        <v>4.0380412779877579</v>
      </c>
      <c r="H211">
        <v>2.2596293161796779</v>
      </c>
      <c r="I211">
        <v>0.10461246834165169</v>
      </c>
      <c r="J211">
        <v>0.2456595</v>
      </c>
      <c r="K211">
        <v>0.33300000000000002</v>
      </c>
      <c r="L211">
        <v>17.399999999999999</v>
      </c>
      <c r="M211">
        <v>0.15074596903540369</v>
      </c>
      <c r="N211">
        <v>197</v>
      </c>
      <c r="O211">
        <v>12</v>
      </c>
      <c r="P211">
        <v>30.561602640386781</v>
      </c>
      <c r="Q211">
        <v>43.399256446177198</v>
      </c>
      <c r="R211">
        <v>24.774850210031779</v>
      </c>
      <c r="S211">
        <v>1.1550759027803741</v>
      </c>
      <c r="T211">
        <v>0.10921480062387449</v>
      </c>
      <c r="U211" t="s">
        <v>122</v>
      </c>
      <c r="V211">
        <v>2552.923757905291</v>
      </c>
      <c r="W211">
        <v>41.741180454702352</v>
      </c>
      <c r="AK211" t="s">
        <v>131</v>
      </c>
      <c r="AL211">
        <f t="shared" si="9"/>
        <v>13.059702680439738</v>
      </c>
      <c r="AM211">
        <f t="shared" si="10"/>
        <v>3.7752037752037761E-2</v>
      </c>
      <c r="AN211">
        <f t="shared" si="11"/>
        <v>4.0945707612374288E-2</v>
      </c>
    </row>
    <row r="212" spans="1:40" x14ac:dyDescent="0.2">
      <c r="A212" t="s">
        <v>67</v>
      </c>
      <c r="B212">
        <v>2020</v>
      </c>
      <c r="C212">
        <v>189.27276991559131</v>
      </c>
      <c r="D212">
        <v>88.470754358859054</v>
      </c>
      <c r="E212">
        <v>17.21540778997203</v>
      </c>
      <c r="F212">
        <v>3.3971415652964461</v>
      </c>
      <c r="G212">
        <v>9.3330722007432598</v>
      </c>
      <c r="H212">
        <v>3.215799488857134</v>
      </c>
      <c r="I212">
        <v>0.42313151169172808</v>
      </c>
      <c r="J212">
        <v>0.30242819999999998</v>
      </c>
      <c r="K212">
        <v>0.35299999999999998</v>
      </c>
      <c r="L212">
        <v>18.600000000000001</v>
      </c>
      <c r="M212">
        <v>0.1259875</v>
      </c>
      <c r="N212">
        <v>159</v>
      </c>
      <c r="O212">
        <v>3</v>
      </c>
      <c r="P212">
        <v>24.748651185</v>
      </c>
      <c r="Q212">
        <v>47.035461689999998</v>
      </c>
      <c r="R212">
        <v>18.396133222</v>
      </c>
      <c r="S212">
        <v>9.323215179</v>
      </c>
      <c r="T212">
        <v>0.49653872399998988</v>
      </c>
      <c r="U212" t="s">
        <v>67</v>
      </c>
      <c r="V212">
        <v>2643.6423637840539</v>
      </c>
      <c r="W212">
        <v>37.686404422017027</v>
      </c>
      <c r="AK212" t="s">
        <v>137</v>
      </c>
      <c r="AL212">
        <f t="shared" si="9"/>
        <v>12.70943326694</v>
      </c>
      <c r="AM212">
        <f t="shared" si="10"/>
        <v>5.1545733265201836E-2</v>
      </c>
      <c r="AN212">
        <f t="shared" si="11"/>
        <v>9.0955544200306618E-2</v>
      </c>
    </row>
    <row r="213" spans="1:40" x14ac:dyDescent="0.2">
      <c r="A213" t="s">
        <v>67</v>
      </c>
      <c r="B213">
        <v>2022</v>
      </c>
      <c r="C213">
        <v>174.22559210287801</v>
      </c>
      <c r="D213">
        <v>85.507268894724035</v>
      </c>
      <c r="E213">
        <v>15.16187339123589</v>
      </c>
      <c r="F213">
        <v>3.8196008970235602</v>
      </c>
      <c r="G213">
        <v>9.309467949016744</v>
      </c>
      <c r="H213">
        <v>4.7259468725884721</v>
      </c>
      <c r="I213">
        <v>1.022876172423258</v>
      </c>
      <c r="J213">
        <v>0.44270150000000003</v>
      </c>
      <c r="K213">
        <v>0.35399999999999998</v>
      </c>
      <c r="L213">
        <v>15.5</v>
      </c>
      <c r="M213">
        <v>0.11913658892807751</v>
      </c>
      <c r="N213">
        <v>141</v>
      </c>
      <c r="O213">
        <v>3</v>
      </c>
      <c r="P213">
        <v>23.292872088900172</v>
      </c>
      <c r="Q213">
        <v>48.659157689086321</v>
      </c>
      <c r="R213">
        <v>17.004497328816019</v>
      </c>
      <c r="S213">
        <v>10.716595715600929</v>
      </c>
      <c r="T213">
        <v>0.32687717759655749</v>
      </c>
      <c r="U213" t="s">
        <v>67</v>
      </c>
      <c r="V213">
        <v>1001.690382935034</v>
      </c>
      <c r="W213">
        <v>39.024852998606868</v>
      </c>
      <c r="AK213" t="s">
        <v>137</v>
      </c>
      <c r="AL213">
        <f t="shared" si="9"/>
        <v>12.667684720593954</v>
      </c>
      <c r="AM213">
        <f t="shared" si="10"/>
        <v>5.9304399524375752E-2</v>
      </c>
      <c r="AN213">
        <f t="shared" si="11"/>
        <v>8.7024375743162893E-2</v>
      </c>
    </row>
    <row r="214" spans="1:40" x14ac:dyDescent="0.2">
      <c r="A214" t="s">
        <v>67</v>
      </c>
      <c r="B214">
        <v>2016</v>
      </c>
      <c r="C214">
        <v>224.53985167584031</v>
      </c>
      <c r="D214">
        <v>107.8436377474777</v>
      </c>
      <c r="E214">
        <v>10.975802184950391</v>
      </c>
      <c r="F214">
        <v>3.8171658761613929</v>
      </c>
      <c r="G214">
        <v>8.4464947046975496</v>
      </c>
      <c r="H214">
        <v>2.9121843006580841</v>
      </c>
      <c r="I214">
        <v>0.54530941088019902</v>
      </c>
      <c r="J214">
        <v>0.24020549999999999</v>
      </c>
      <c r="K214">
        <v>0.36399999999999999</v>
      </c>
      <c r="L214">
        <v>19.3</v>
      </c>
      <c r="M214">
        <v>0.1569650031531882</v>
      </c>
      <c r="N214">
        <v>162</v>
      </c>
      <c r="O214">
        <v>3</v>
      </c>
      <c r="P214">
        <v>26.163761704999999</v>
      </c>
      <c r="Q214">
        <v>47.923676673000003</v>
      </c>
      <c r="R214">
        <v>17.865833251000002</v>
      </c>
      <c r="S214">
        <v>7.1421216730000001</v>
      </c>
      <c r="T214">
        <v>0.90460669799999494</v>
      </c>
      <c r="U214" t="s">
        <v>67</v>
      </c>
      <c r="AK214" t="s">
        <v>137</v>
      </c>
      <c r="AL214">
        <f t="shared" si="9"/>
        <v>12.79885909934</v>
      </c>
      <c r="AM214">
        <f t="shared" si="10"/>
        <v>4.0045470986410356E-2</v>
      </c>
      <c r="AN214">
        <f t="shared" si="11"/>
        <v>4.8881310391153822E-2</v>
      </c>
    </row>
    <row r="215" spans="1:40" x14ac:dyDescent="0.2">
      <c r="A215" t="s">
        <v>67</v>
      </c>
      <c r="B215">
        <v>2017</v>
      </c>
      <c r="C215">
        <v>209.27071369110971</v>
      </c>
      <c r="D215">
        <v>99.08571388429344</v>
      </c>
      <c r="E215">
        <v>10.888539987285</v>
      </c>
      <c r="F215">
        <v>3.172897136079821</v>
      </c>
      <c r="G215">
        <v>8.0083455390354157</v>
      </c>
      <c r="H215">
        <v>2.0489188148116928</v>
      </c>
      <c r="I215">
        <v>0.19903782772456441</v>
      </c>
      <c r="J215">
        <v>0.25294070000000002</v>
      </c>
      <c r="K215">
        <v>0.36299999999999999</v>
      </c>
      <c r="L215">
        <v>19.2</v>
      </c>
      <c r="M215">
        <v>0.1487319475529536</v>
      </c>
      <c r="N215">
        <v>161</v>
      </c>
      <c r="O215">
        <v>3</v>
      </c>
      <c r="P215">
        <v>28.775847158000001</v>
      </c>
      <c r="Q215">
        <v>46.277451459000012</v>
      </c>
      <c r="R215">
        <v>16.175789744999999</v>
      </c>
      <c r="S215">
        <v>7.9448882039999997</v>
      </c>
      <c r="T215">
        <v>0.82602343399999256</v>
      </c>
      <c r="U215" t="s">
        <v>67</v>
      </c>
      <c r="V215">
        <v>2752.7965427844651</v>
      </c>
      <c r="W215">
        <v>30.160604808316108</v>
      </c>
      <c r="AK215" t="s">
        <v>137</v>
      </c>
      <c r="AL215">
        <f t="shared" si="9"/>
        <v>12.85986351104</v>
      </c>
      <c r="AM215">
        <f t="shared" si="10"/>
        <v>3.921897728544254E-2</v>
      </c>
      <c r="AN215">
        <f t="shared" si="11"/>
        <v>5.2030882846592831E-2</v>
      </c>
    </row>
    <row r="216" spans="1:40" x14ac:dyDescent="0.2">
      <c r="A216" t="s">
        <v>67</v>
      </c>
      <c r="B216">
        <v>2019</v>
      </c>
      <c r="C216">
        <v>204.87575790612451</v>
      </c>
      <c r="D216">
        <v>94.872295588480185</v>
      </c>
      <c r="E216">
        <v>12.44757104639865</v>
      </c>
      <c r="F216">
        <v>2.9950844673721488</v>
      </c>
      <c r="G216">
        <v>7.9908853589488933</v>
      </c>
      <c r="H216">
        <v>2.575772641940048</v>
      </c>
      <c r="I216">
        <v>0.22762641952028331</v>
      </c>
      <c r="J216">
        <v>0.29409419999999997</v>
      </c>
      <c r="K216">
        <v>0.35799999999999998</v>
      </c>
      <c r="L216">
        <v>19</v>
      </c>
      <c r="M216">
        <v>0.13142794398323099</v>
      </c>
      <c r="N216">
        <v>120</v>
      </c>
      <c r="O216">
        <v>3</v>
      </c>
      <c r="P216">
        <v>22.696146452166271</v>
      </c>
      <c r="Q216">
        <v>46.956410819953213</v>
      </c>
      <c r="R216">
        <v>20.23184577705112</v>
      </c>
      <c r="S216">
        <v>9.5272869867943832</v>
      </c>
      <c r="T216">
        <v>0.58830996403501956</v>
      </c>
      <c r="U216" t="s">
        <v>67</v>
      </c>
      <c r="V216">
        <v>2729.5520602096258</v>
      </c>
      <c r="W216">
        <v>31.39525432877647</v>
      </c>
      <c r="AK216" t="s">
        <v>137</v>
      </c>
      <c r="AL216">
        <f t="shared" si="9"/>
        <v>12.615246637267377</v>
      </c>
      <c r="AM216">
        <f t="shared" si="10"/>
        <v>4.0114613180515755E-2</v>
      </c>
      <c r="AN216">
        <f t="shared" si="11"/>
        <v>6.075668089585403E-2</v>
      </c>
    </row>
    <row r="217" spans="1:40" x14ac:dyDescent="0.2">
      <c r="A217" t="s">
        <v>67</v>
      </c>
      <c r="B217">
        <v>2021</v>
      </c>
      <c r="C217">
        <v>180.37553294159329</v>
      </c>
      <c r="D217">
        <v>83.645870237120846</v>
      </c>
      <c r="E217">
        <v>14.549763612152899</v>
      </c>
      <c r="F217">
        <v>3.1884872399428268</v>
      </c>
      <c r="G217">
        <v>7.7574306412402114</v>
      </c>
      <c r="H217">
        <v>3.432815764076377</v>
      </c>
      <c r="I217">
        <v>0.48865704826709999</v>
      </c>
      <c r="J217">
        <v>0.34877970000000003</v>
      </c>
      <c r="K217">
        <v>0.35499999999999998</v>
      </c>
      <c r="L217">
        <v>17.8</v>
      </c>
      <c r="M217">
        <v>0.1222150769219061</v>
      </c>
      <c r="N217">
        <v>155</v>
      </c>
      <c r="O217">
        <v>3</v>
      </c>
      <c r="P217">
        <v>23.5433799642203</v>
      </c>
      <c r="Q217">
        <v>48.597296849456093</v>
      </c>
      <c r="R217">
        <v>17.36561422327939</v>
      </c>
      <c r="S217">
        <v>9.8353263987555515</v>
      </c>
      <c r="T217">
        <v>0.65838256428867226</v>
      </c>
      <c r="U217" t="s">
        <v>67</v>
      </c>
      <c r="V217">
        <v>954.00185781362336</v>
      </c>
      <c r="W217">
        <v>36.390114064982747</v>
      </c>
      <c r="AK217" t="s">
        <v>137</v>
      </c>
      <c r="AL217">
        <f t="shared" si="9"/>
        <v>12.670887828082616</v>
      </c>
      <c r="AM217">
        <f t="shared" si="10"/>
        <v>4.5716220792414483E-2</v>
      </c>
      <c r="AN217">
        <f t="shared" si="11"/>
        <v>8.0663731798171337E-2</v>
      </c>
    </row>
    <row r="218" spans="1:40" x14ac:dyDescent="0.2">
      <c r="A218" t="s">
        <v>67</v>
      </c>
      <c r="B218">
        <v>2018</v>
      </c>
      <c r="C218">
        <v>206.49599012225369</v>
      </c>
      <c r="D218">
        <v>92.592045055390841</v>
      </c>
      <c r="E218">
        <v>12.276222093178649</v>
      </c>
      <c r="F218">
        <v>3.004008103725798</v>
      </c>
      <c r="G218">
        <v>7.7465563304740064</v>
      </c>
      <c r="H218">
        <v>2.24709267601536</v>
      </c>
      <c r="I218">
        <v>9.4614428463804606E-2</v>
      </c>
      <c r="J218">
        <v>0.26372980000000001</v>
      </c>
      <c r="K218">
        <v>0.35699999999999998</v>
      </c>
      <c r="L218">
        <v>19.100000000000001</v>
      </c>
      <c r="M218">
        <v>0.14032851076011629</v>
      </c>
      <c r="N218">
        <v>158</v>
      </c>
      <c r="O218">
        <v>3</v>
      </c>
      <c r="P218">
        <v>24.796897624</v>
      </c>
      <c r="Q218">
        <v>47.261593769999998</v>
      </c>
      <c r="R218">
        <v>18.871907783000001</v>
      </c>
      <c r="S218">
        <v>8.3629291820000002</v>
      </c>
      <c r="T218">
        <v>0.70667164099999979</v>
      </c>
      <c r="U218" t="s">
        <v>67</v>
      </c>
      <c r="V218">
        <v>2887.7720133363491</v>
      </c>
      <c r="W218">
        <v>32.868943432518257</v>
      </c>
      <c r="AK218" t="s">
        <v>137</v>
      </c>
      <c r="AL218">
        <f t="shared" si="9"/>
        <v>12.720382181850001</v>
      </c>
      <c r="AM218">
        <f t="shared" si="10"/>
        <v>3.7972508591065289E-2</v>
      </c>
      <c r="AN218">
        <f t="shared" si="11"/>
        <v>5.9450171821305811E-2</v>
      </c>
    </row>
    <row r="219" spans="1:40" x14ac:dyDescent="0.2">
      <c r="A219" t="s">
        <v>68</v>
      </c>
      <c r="B219">
        <v>2022</v>
      </c>
      <c r="C219">
        <v>124.73148598162049</v>
      </c>
      <c r="D219">
        <v>54.917841202942803</v>
      </c>
      <c r="E219">
        <v>6.9006711459195147</v>
      </c>
      <c r="F219">
        <v>2.5506512972148738</v>
      </c>
      <c r="G219">
        <v>8.3475860636123169</v>
      </c>
      <c r="H219">
        <v>3.1442574172939719</v>
      </c>
      <c r="I219">
        <v>0.1020260518885949</v>
      </c>
      <c r="J219">
        <v>0.62043219999999999</v>
      </c>
      <c r="K219">
        <v>0.36399999999999999</v>
      </c>
      <c r="L219">
        <v>7.7</v>
      </c>
      <c r="M219">
        <v>0.13541732365260681</v>
      </c>
      <c r="N219">
        <v>184</v>
      </c>
      <c r="O219">
        <v>8</v>
      </c>
      <c r="P219">
        <v>36.46592293579063</v>
      </c>
      <c r="Q219">
        <v>51.056364525312013</v>
      </c>
      <c r="R219">
        <v>9.5812024249185619</v>
      </c>
      <c r="S219">
        <v>2.72766046228754</v>
      </c>
      <c r="T219">
        <v>0.16884965169126079</v>
      </c>
      <c r="U219" t="s">
        <v>68</v>
      </c>
      <c r="V219">
        <v>1052.9331022075039</v>
      </c>
      <c r="W219">
        <v>35.720181008444428</v>
      </c>
      <c r="AK219" t="s">
        <v>136</v>
      </c>
      <c r="AL219">
        <f t="shared" si="9"/>
        <v>13.413391523073726</v>
      </c>
      <c r="AM219">
        <f t="shared" si="10"/>
        <v>6.7742415229030337E-2</v>
      </c>
      <c r="AN219">
        <f t="shared" si="11"/>
        <v>5.5324211778703142E-2</v>
      </c>
    </row>
    <row r="220" spans="1:40" x14ac:dyDescent="0.2">
      <c r="A220" t="s">
        <v>68</v>
      </c>
      <c r="B220">
        <v>2021</v>
      </c>
      <c r="C220">
        <v>123.4669234866227</v>
      </c>
      <c r="D220">
        <v>54.163839458343368</v>
      </c>
      <c r="E220">
        <v>4.9612946060513208</v>
      </c>
      <c r="F220">
        <v>2.7268880279583541</v>
      </c>
      <c r="G220">
        <v>7.2048212109936456</v>
      </c>
      <c r="H220">
        <v>2.9731287528910491</v>
      </c>
      <c r="I220">
        <v>0.16416048328846269</v>
      </c>
      <c r="J220">
        <v>0.63461100000000004</v>
      </c>
      <c r="K220">
        <v>0.37</v>
      </c>
      <c r="L220">
        <v>9.1</v>
      </c>
      <c r="M220">
        <v>0.13873638328259649</v>
      </c>
      <c r="N220">
        <v>172</v>
      </c>
      <c r="O220">
        <v>8</v>
      </c>
      <c r="P220">
        <v>34.223083907803137</v>
      </c>
      <c r="Q220">
        <v>51.48614105899135</v>
      </c>
      <c r="R220">
        <v>11.11985227235755</v>
      </c>
      <c r="S220">
        <v>2.96571198746049</v>
      </c>
      <c r="T220">
        <v>0.20521077338746349</v>
      </c>
      <c r="U220" t="s">
        <v>68</v>
      </c>
      <c r="V220">
        <v>1020.3302877304091</v>
      </c>
      <c r="W220">
        <v>33.576286119255279</v>
      </c>
      <c r="AK220" t="s">
        <v>136</v>
      </c>
      <c r="AL220">
        <f t="shared" si="9"/>
        <v>13.324967183605617</v>
      </c>
      <c r="AM220">
        <f t="shared" si="10"/>
        <v>5.9683852858620198E-2</v>
      </c>
      <c r="AN220">
        <f t="shared" si="11"/>
        <v>4.0183188063229444E-2</v>
      </c>
    </row>
    <row r="221" spans="1:40" x14ac:dyDescent="0.2">
      <c r="A221" t="s">
        <v>68</v>
      </c>
      <c r="B221">
        <v>2019</v>
      </c>
      <c r="C221">
        <v>119.2638755023527</v>
      </c>
      <c r="D221">
        <v>56.935560652225163</v>
      </c>
      <c r="E221">
        <v>5.681813049381188</v>
      </c>
      <c r="F221">
        <v>2.2673053662872471</v>
      </c>
      <c r="G221">
        <v>6.2147653067953206</v>
      </c>
      <c r="H221">
        <v>2.0324450494606801</v>
      </c>
      <c r="I221">
        <v>0.11743015841328371</v>
      </c>
      <c r="J221">
        <v>0.45021159999999999</v>
      </c>
      <c r="K221">
        <v>0.36799999999999999</v>
      </c>
      <c r="L221">
        <v>9.9</v>
      </c>
      <c r="M221">
        <v>0.14935939621711089</v>
      </c>
      <c r="N221">
        <v>153</v>
      </c>
      <c r="O221">
        <v>8</v>
      </c>
      <c r="P221">
        <v>35.821130840651293</v>
      </c>
      <c r="Q221">
        <v>50.470402954819988</v>
      </c>
      <c r="R221">
        <v>10.823983048971471</v>
      </c>
      <c r="S221">
        <v>2.732216087854404</v>
      </c>
      <c r="T221">
        <v>0.15226706770285151</v>
      </c>
      <c r="U221" t="s">
        <v>68</v>
      </c>
      <c r="V221">
        <v>3031.436003555355</v>
      </c>
      <c r="W221">
        <v>34.602657967228097</v>
      </c>
      <c r="AK221" t="s">
        <v>136</v>
      </c>
      <c r="AL221">
        <f t="shared" si="9"/>
        <v>13.376950276226165</v>
      </c>
      <c r="AM221">
        <f t="shared" si="10"/>
        <v>5.3093993789290285E-2</v>
      </c>
      <c r="AN221">
        <f t="shared" si="11"/>
        <v>4.76406877224873E-2</v>
      </c>
    </row>
    <row r="222" spans="1:40" x14ac:dyDescent="0.2">
      <c r="A222" t="s">
        <v>68</v>
      </c>
      <c r="B222">
        <v>2018</v>
      </c>
      <c r="C222">
        <v>109.4834550862283</v>
      </c>
      <c r="D222">
        <v>59.341646663444628</v>
      </c>
      <c r="E222">
        <v>5.7386905204902643</v>
      </c>
      <c r="F222">
        <v>2.1251088333690511</v>
      </c>
      <c r="G222">
        <v>5.6848902968606669</v>
      </c>
      <c r="H222">
        <v>2.143042241245583</v>
      </c>
      <c r="I222">
        <v>8.0700335444394297E-2</v>
      </c>
      <c r="J222">
        <v>0.407221</v>
      </c>
      <c r="K222">
        <v>0.371</v>
      </c>
      <c r="L222">
        <v>9.9</v>
      </c>
      <c r="M222">
        <v>0.15722614265747339</v>
      </c>
      <c r="N222">
        <v>182</v>
      </c>
      <c r="O222">
        <v>8</v>
      </c>
      <c r="P222">
        <v>34.936253446000002</v>
      </c>
      <c r="Q222">
        <v>51.046677111999998</v>
      </c>
      <c r="R222">
        <v>10.735157076</v>
      </c>
      <c r="S222">
        <v>3.0160550100000001</v>
      </c>
      <c r="T222">
        <v>0.26585735599999788</v>
      </c>
      <c r="U222" t="s">
        <v>68</v>
      </c>
      <c r="V222">
        <v>2979.2125203599048</v>
      </c>
      <c r="W222">
        <v>32.595300701377603</v>
      </c>
      <c r="AK222" t="s">
        <v>136</v>
      </c>
      <c r="AL222">
        <f t="shared" si="9"/>
        <v>13.339452564959997</v>
      </c>
      <c r="AM222">
        <f t="shared" si="10"/>
        <v>5.2661752661752659E-2</v>
      </c>
      <c r="AN222">
        <f t="shared" si="11"/>
        <v>5.2416052416052426E-2</v>
      </c>
    </row>
    <row r="223" spans="1:40" x14ac:dyDescent="0.2">
      <c r="A223" t="s">
        <v>68</v>
      </c>
      <c r="B223">
        <v>2016</v>
      </c>
      <c r="C223">
        <v>108.8374393648679</v>
      </c>
      <c r="D223">
        <v>64.766758421062491</v>
      </c>
      <c r="E223">
        <v>4.6249215415095639</v>
      </c>
      <c r="F223">
        <v>2.2678186709332611</v>
      </c>
      <c r="G223">
        <v>5.678475097297456</v>
      </c>
      <c r="H223">
        <v>1.946395552218311</v>
      </c>
      <c r="I223">
        <v>0.1964252392146919</v>
      </c>
      <c r="J223">
        <v>0.33877829999999998</v>
      </c>
      <c r="K223">
        <v>0.379</v>
      </c>
      <c r="L223">
        <v>10.5</v>
      </c>
      <c r="M223">
        <v>0.17181877811513699</v>
      </c>
      <c r="N223">
        <v>186</v>
      </c>
      <c r="O223">
        <v>10</v>
      </c>
      <c r="P223">
        <v>31.906945968999999</v>
      </c>
      <c r="Q223">
        <v>52.446409598000002</v>
      </c>
      <c r="R223">
        <v>12.683559949999999</v>
      </c>
      <c r="S223">
        <v>2.9095984700000002</v>
      </c>
      <c r="T223">
        <v>5.3486012999997001E-2</v>
      </c>
      <c r="U223" t="s">
        <v>68</v>
      </c>
      <c r="AK223" t="s">
        <v>136</v>
      </c>
      <c r="AL223">
        <f t="shared" si="9"/>
        <v>13.263270040409997</v>
      </c>
      <c r="AM223">
        <f t="shared" si="10"/>
        <v>5.3978671041837574E-2</v>
      </c>
      <c r="AN223">
        <f t="shared" si="11"/>
        <v>4.2493847415914693E-2</v>
      </c>
    </row>
    <row r="224" spans="1:40" x14ac:dyDescent="0.2">
      <c r="A224" t="s">
        <v>68</v>
      </c>
      <c r="B224">
        <v>2017</v>
      </c>
      <c r="C224">
        <v>105.65565908773139</v>
      </c>
      <c r="D224">
        <v>61.44841939525849</v>
      </c>
      <c r="E224">
        <v>5.1563238883847351</v>
      </c>
      <c r="F224">
        <v>2.1106196227067051</v>
      </c>
      <c r="G224">
        <v>5.6728468340260383</v>
      </c>
      <c r="H224">
        <v>2.0037528063671251</v>
      </c>
      <c r="I224">
        <v>8.9055680282983302E-2</v>
      </c>
      <c r="J224">
        <v>0.36271209999999998</v>
      </c>
      <c r="K224">
        <v>0.372</v>
      </c>
      <c r="L224">
        <v>10.3</v>
      </c>
      <c r="M224">
        <v>0.1662300649813305</v>
      </c>
      <c r="N224">
        <v>179</v>
      </c>
      <c r="O224">
        <v>8</v>
      </c>
      <c r="P224">
        <v>34.144110828999999</v>
      </c>
      <c r="Q224">
        <v>50.272632151000003</v>
      </c>
      <c r="R224">
        <v>13.006889996</v>
      </c>
      <c r="S224">
        <v>2.5122783050000002</v>
      </c>
      <c r="T224">
        <v>6.4088718999997241E-2</v>
      </c>
      <c r="U224" t="s">
        <v>68</v>
      </c>
      <c r="V224">
        <v>2949.3362190997641</v>
      </c>
      <c r="W224">
        <v>32.205597028360991</v>
      </c>
      <c r="AK224" t="s">
        <v>136</v>
      </c>
      <c r="AL224">
        <f t="shared" si="9"/>
        <v>13.316485299749997</v>
      </c>
      <c r="AM224">
        <f t="shared" si="10"/>
        <v>5.4534726904922469E-2</v>
      </c>
      <c r="AN224">
        <f t="shared" si="11"/>
        <v>4.8803101820633868E-2</v>
      </c>
    </row>
    <row r="225" spans="1:40" x14ac:dyDescent="0.2">
      <c r="A225" t="s">
        <v>68</v>
      </c>
      <c r="B225">
        <v>2020</v>
      </c>
      <c r="C225">
        <v>125.9320584633445</v>
      </c>
      <c r="D225">
        <v>55.153585843580842</v>
      </c>
      <c r="E225">
        <v>5.3441641727233868</v>
      </c>
      <c r="F225">
        <v>2.083318236824371</v>
      </c>
      <c r="G225">
        <v>5.3803957942333742</v>
      </c>
      <c r="H225">
        <v>1.8659285077644361</v>
      </c>
      <c r="I225">
        <v>0.1177527699074644</v>
      </c>
      <c r="J225">
        <v>0.47736269999999997</v>
      </c>
      <c r="K225">
        <v>0.36299999999999999</v>
      </c>
      <c r="L225">
        <v>9.9</v>
      </c>
      <c r="M225">
        <v>0.14480910345053369</v>
      </c>
      <c r="N225">
        <v>174</v>
      </c>
      <c r="O225">
        <v>8</v>
      </c>
      <c r="P225">
        <v>35.845609740999997</v>
      </c>
      <c r="Q225">
        <v>50.181722417000003</v>
      </c>
      <c r="R225">
        <v>10.787658613</v>
      </c>
      <c r="S225">
        <v>3.0601611439999998</v>
      </c>
      <c r="T225">
        <v>0.12484808499998221</v>
      </c>
      <c r="U225" t="s">
        <v>68</v>
      </c>
      <c r="V225">
        <v>2968.7813159617031</v>
      </c>
      <c r="W225">
        <v>35.856457515583742</v>
      </c>
      <c r="AK225" t="s">
        <v>136</v>
      </c>
      <c r="AL225">
        <f t="shared" si="9"/>
        <v>13.367516249149999</v>
      </c>
      <c r="AM225">
        <f t="shared" si="10"/>
        <v>4.3659641803927188E-2</v>
      </c>
      <c r="AN225">
        <f t="shared" si="11"/>
        <v>4.2436884125728255E-2</v>
      </c>
    </row>
    <row r="226" spans="1:40" x14ac:dyDescent="0.2">
      <c r="A226" t="s">
        <v>69</v>
      </c>
      <c r="B226">
        <v>2020</v>
      </c>
      <c r="C226">
        <v>146.20933624469049</v>
      </c>
      <c r="D226">
        <v>42.263011548762393</v>
      </c>
      <c r="E226">
        <v>6.1677982293034921</v>
      </c>
      <c r="F226">
        <v>2.8679995223554702</v>
      </c>
      <c r="G226">
        <v>8.817232732297299</v>
      </c>
      <c r="H226">
        <v>1.700542467716347</v>
      </c>
      <c r="I226">
        <v>0.1226096450077617</v>
      </c>
      <c r="J226">
        <v>0.63063840000000004</v>
      </c>
      <c r="K226">
        <v>0.34799999999999998</v>
      </c>
      <c r="L226">
        <v>9.1</v>
      </c>
      <c r="M226">
        <v>0.16316989433822221</v>
      </c>
      <c r="N226">
        <v>155</v>
      </c>
      <c r="O226">
        <v>1</v>
      </c>
      <c r="P226">
        <v>30.849410635000002</v>
      </c>
      <c r="Q226">
        <v>48.527670090000001</v>
      </c>
      <c r="R226">
        <v>16.959088850000001</v>
      </c>
      <c r="S226">
        <v>3.5916980930000002</v>
      </c>
      <c r="T226">
        <v>7.2132331999995358E-2</v>
      </c>
      <c r="U226" t="s">
        <v>69</v>
      </c>
      <c r="V226">
        <v>2592.381344067458</v>
      </c>
      <c r="W226">
        <v>35.345697095144537</v>
      </c>
      <c r="AK226" t="s">
        <v>134</v>
      </c>
      <c r="AL226">
        <f t="shared" si="9"/>
        <v>13.127646602099999</v>
      </c>
      <c r="AM226">
        <f t="shared" si="10"/>
        <v>6.1144128049002794E-2</v>
      </c>
      <c r="AN226">
        <f t="shared" si="11"/>
        <v>4.218470849892441E-2</v>
      </c>
    </row>
    <row r="227" spans="1:40" x14ac:dyDescent="0.2">
      <c r="A227" t="s">
        <v>69</v>
      </c>
      <c r="B227">
        <v>2018</v>
      </c>
      <c r="C227">
        <v>119.5104685370512</v>
      </c>
      <c r="D227">
        <v>49.481314532455329</v>
      </c>
      <c r="E227">
        <v>7.5365968764196589</v>
      </c>
      <c r="F227">
        <v>3.363075416690557</v>
      </c>
      <c r="G227">
        <v>6.7592302637092194</v>
      </c>
      <c r="H227">
        <v>2.0784908722825248</v>
      </c>
      <c r="I227">
        <v>0.19296334358060571</v>
      </c>
      <c r="J227">
        <v>0.6064408</v>
      </c>
      <c r="K227">
        <v>0.36</v>
      </c>
      <c r="L227">
        <v>8.6999999999999993</v>
      </c>
      <c r="M227">
        <v>0.1718657653565607</v>
      </c>
      <c r="N227">
        <v>168</v>
      </c>
      <c r="O227">
        <v>1</v>
      </c>
      <c r="P227">
        <v>30.793839583</v>
      </c>
      <c r="Q227">
        <v>45.649563286000003</v>
      </c>
      <c r="R227">
        <v>19.733321948</v>
      </c>
      <c r="S227">
        <v>3.4782424179999998</v>
      </c>
      <c r="T227">
        <v>0.34503276499999908</v>
      </c>
      <c r="U227" t="s">
        <v>69</v>
      </c>
      <c r="V227">
        <v>2462.096482159985</v>
      </c>
      <c r="W227">
        <v>33.414064624239373</v>
      </c>
      <c r="AK227" t="s">
        <v>134</v>
      </c>
      <c r="AL227">
        <f t="shared" si="9"/>
        <v>13.051027707130002</v>
      </c>
      <c r="AM227">
        <f t="shared" si="10"/>
        <v>5.817225630852977E-2</v>
      </c>
      <c r="AN227">
        <f t="shared" si="11"/>
        <v>6.3062231858652007E-2</v>
      </c>
    </row>
    <row r="228" spans="1:40" x14ac:dyDescent="0.2">
      <c r="A228" t="s">
        <v>69</v>
      </c>
      <c r="B228">
        <v>2019</v>
      </c>
      <c r="C228">
        <v>131.57332210597411</v>
      </c>
      <c r="D228">
        <v>43.671974227582403</v>
      </c>
      <c r="E228">
        <v>6.6454999196370732</v>
      </c>
      <c r="F228">
        <v>3.0305211359908482</v>
      </c>
      <c r="G228">
        <v>6.5102087974946254</v>
      </c>
      <c r="H228">
        <v>1.379969445852975</v>
      </c>
      <c r="I228">
        <v>0.13529112214244851</v>
      </c>
      <c r="J228">
        <v>0.63330140000000001</v>
      </c>
      <c r="K228">
        <v>0.35199999999999998</v>
      </c>
      <c r="L228">
        <v>9.1</v>
      </c>
      <c r="M228">
        <v>0.16731608609127549</v>
      </c>
      <c r="N228">
        <v>127</v>
      </c>
      <c r="O228">
        <v>1</v>
      </c>
      <c r="P228">
        <v>31.210268194952999</v>
      </c>
      <c r="Q228">
        <v>47.133201404203987</v>
      </c>
      <c r="R228">
        <v>18.556110780541111</v>
      </c>
      <c r="S228">
        <v>2.9657796797530529</v>
      </c>
      <c r="T228">
        <v>0.1346399405488512</v>
      </c>
      <c r="U228" t="s">
        <v>69</v>
      </c>
      <c r="V228">
        <v>2549.1204474723231</v>
      </c>
      <c r="W228">
        <v>33.884928596159227</v>
      </c>
      <c r="AK228" t="s">
        <v>134</v>
      </c>
      <c r="AL228">
        <f t="shared" si="9"/>
        <v>13.122334366448717</v>
      </c>
      <c r="AM228">
        <f t="shared" si="10"/>
        <v>5.0507958705219423E-2</v>
      </c>
      <c r="AN228">
        <f t="shared" si="11"/>
        <v>5.0507958705219416E-2</v>
      </c>
    </row>
    <row r="229" spans="1:40" x14ac:dyDescent="0.2">
      <c r="A229" t="s">
        <v>69</v>
      </c>
      <c r="B229">
        <v>2017</v>
      </c>
      <c r="C229">
        <v>102.733610280839</v>
      </c>
      <c r="D229">
        <v>47.033454693188737</v>
      </c>
      <c r="E229">
        <v>6.89206413693499</v>
      </c>
      <c r="F229">
        <v>3.5157898026469989</v>
      </c>
      <c r="G229">
        <v>5.7368760589224053</v>
      </c>
      <c r="H229">
        <v>2.5224396679308621</v>
      </c>
      <c r="I229">
        <v>7.8128662281044398E-2</v>
      </c>
      <c r="J229">
        <v>0.53998330000000005</v>
      </c>
      <c r="K229">
        <v>0.36599999999999999</v>
      </c>
      <c r="L229">
        <v>9.3000000000000007</v>
      </c>
      <c r="M229">
        <v>0.17710459207911</v>
      </c>
      <c r="N229">
        <v>158</v>
      </c>
      <c r="O229">
        <v>1</v>
      </c>
      <c r="P229">
        <v>29.032813383000001</v>
      </c>
      <c r="Q229">
        <v>48.557433349</v>
      </c>
      <c r="R229">
        <v>18.835420422999999</v>
      </c>
      <c r="S229">
        <v>3.2266088709999998</v>
      </c>
      <c r="T229">
        <v>0.34772397400000438</v>
      </c>
      <c r="U229" t="s">
        <v>69</v>
      </c>
      <c r="V229">
        <v>2518.1298660157822</v>
      </c>
      <c r="W229">
        <v>31.000390261402099</v>
      </c>
      <c r="AK229" t="s">
        <v>134</v>
      </c>
      <c r="AL229">
        <f t="shared" si="9"/>
        <v>13.0435883467</v>
      </c>
      <c r="AM229">
        <f t="shared" si="10"/>
        <v>5.660274865554895E-2</v>
      </c>
      <c r="AN229">
        <f t="shared" si="11"/>
        <v>6.7086751045684206E-2</v>
      </c>
    </row>
    <row r="230" spans="1:40" x14ac:dyDescent="0.2">
      <c r="A230" t="s">
        <v>69</v>
      </c>
      <c r="B230">
        <v>2021</v>
      </c>
      <c r="C230">
        <v>143.13859854991071</v>
      </c>
      <c r="D230">
        <v>40.687669697064159</v>
      </c>
      <c r="E230">
        <v>7.3386798090146881</v>
      </c>
      <c r="F230">
        <v>2.810783051400874</v>
      </c>
      <c r="G230">
        <v>4.749800682724409</v>
      </c>
      <c r="H230">
        <v>1.7752314008847629</v>
      </c>
      <c r="I230">
        <v>0.2113370715339003</v>
      </c>
      <c r="J230">
        <v>0.73973269999999991</v>
      </c>
      <c r="K230">
        <v>0.35</v>
      </c>
      <c r="L230">
        <v>8.3000000000000007</v>
      </c>
      <c r="M230">
        <v>0.15807166836766171</v>
      </c>
      <c r="N230">
        <v>140</v>
      </c>
      <c r="O230">
        <v>1</v>
      </c>
      <c r="P230">
        <v>32.703169154414923</v>
      </c>
      <c r="Q230">
        <v>47.147268588614047</v>
      </c>
      <c r="R230">
        <v>17.015868394772479</v>
      </c>
      <c r="S230">
        <v>3.061796278991963</v>
      </c>
      <c r="T230">
        <v>7.189758320659223E-2</v>
      </c>
      <c r="U230" t="s">
        <v>69</v>
      </c>
      <c r="V230">
        <v>971.12233617444008</v>
      </c>
      <c r="W230">
        <v>36.069589096459516</v>
      </c>
      <c r="AK230" t="s">
        <v>134</v>
      </c>
      <c r="AL230">
        <f t="shared" si="9"/>
        <v>13.184803381544578</v>
      </c>
      <c r="AM230">
        <f t="shared" si="10"/>
        <v>3.4659678133766414E-2</v>
      </c>
      <c r="AN230">
        <f t="shared" si="11"/>
        <v>5.1269747526945214E-2</v>
      </c>
    </row>
    <row r="231" spans="1:40" x14ac:dyDescent="0.2">
      <c r="A231" t="s">
        <v>69</v>
      </c>
      <c r="B231">
        <v>2016</v>
      </c>
      <c r="C231">
        <v>98.574534096894794</v>
      </c>
      <c r="D231">
        <v>50.318828326279167</v>
      </c>
      <c r="E231">
        <v>7.0494705307958991</v>
      </c>
      <c r="F231">
        <v>3.7833282832740349</v>
      </c>
      <c r="G231">
        <v>4.7446197192916566</v>
      </c>
      <c r="H231">
        <v>1.9956635075219651</v>
      </c>
      <c r="I231">
        <v>0.21362031911502721</v>
      </c>
      <c r="J231">
        <v>0.52066959999999995</v>
      </c>
      <c r="K231">
        <v>0.375</v>
      </c>
      <c r="L231">
        <v>10</v>
      </c>
      <c r="M231">
        <v>0.18454717654487049</v>
      </c>
      <c r="N231">
        <v>158</v>
      </c>
      <c r="O231">
        <v>1</v>
      </c>
      <c r="P231">
        <v>29.048064738000001</v>
      </c>
      <c r="Q231">
        <v>48.939565076000001</v>
      </c>
      <c r="R231">
        <v>18.488588471</v>
      </c>
      <c r="S231">
        <v>3.327581141</v>
      </c>
      <c r="T231">
        <v>0.19620057400000229</v>
      </c>
      <c r="U231" t="s">
        <v>69</v>
      </c>
      <c r="AK231" t="s">
        <v>134</v>
      </c>
      <c r="AL231">
        <f t="shared" ref="AL231:AL294" si="12">(15*P231+13*Q231+11*R231+9*S231+4*T231)/100</f>
        <v>13.060428228040001</v>
      </c>
      <c r="AM231">
        <f t="shared" ref="AM231:AM294" si="13">(G231+I231)/C231</f>
        <v>5.0299401197604787E-2</v>
      </c>
      <c r="AN231">
        <f t="shared" ref="AN231:AN294" si="14">E231/C231</f>
        <v>7.1514114627887093E-2</v>
      </c>
    </row>
    <row r="232" spans="1:40" x14ac:dyDescent="0.2">
      <c r="A232" t="s">
        <v>69</v>
      </c>
      <c r="B232">
        <v>2022</v>
      </c>
      <c r="C232">
        <v>142.41618486736439</v>
      </c>
      <c r="D232">
        <v>41.769232839918999</v>
      </c>
      <c r="E232">
        <v>6.7197667822187404</v>
      </c>
      <c r="F232">
        <v>2.5722549403745329</v>
      </c>
      <c r="G232">
        <v>3.7088327047260701</v>
      </c>
      <c r="H232">
        <v>1.6948966661382581</v>
      </c>
      <c r="I232">
        <v>0.10468479408501</v>
      </c>
      <c r="J232">
        <v>0.82279390000000008</v>
      </c>
      <c r="K232">
        <v>0.34499999999999997</v>
      </c>
      <c r="L232">
        <v>7</v>
      </c>
      <c r="M232">
        <v>0.15205167241436029</v>
      </c>
      <c r="N232">
        <v>140</v>
      </c>
      <c r="O232">
        <v>1</v>
      </c>
      <c r="P232">
        <v>30.90925536777868</v>
      </c>
      <c r="Q232">
        <v>47.448110643470983</v>
      </c>
      <c r="R232">
        <v>17.93972139112957</v>
      </c>
      <c r="S232">
        <v>3.6416930010448341</v>
      </c>
      <c r="T232">
        <v>6.1219596575924129E-2</v>
      </c>
      <c r="U232" t="s">
        <v>69</v>
      </c>
      <c r="V232">
        <v>923.23805202981487</v>
      </c>
      <c r="W232">
        <v>36.84000274143154</v>
      </c>
      <c r="AK232" t="s">
        <v>134</v>
      </c>
      <c r="AL232">
        <f t="shared" si="12"/>
        <v>13.108213195799356</v>
      </c>
      <c r="AM232">
        <f t="shared" si="13"/>
        <v>2.6777276068465816E-2</v>
      </c>
      <c r="AN232">
        <f t="shared" si="14"/>
        <v>4.7184010640904474E-2</v>
      </c>
    </row>
    <row r="233" spans="1:40" x14ac:dyDescent="0.2">
      <c r="A233" t="s">
        <v>70</v>
      </c>
      <c r="B233">
        <v>2022</v>
      </c>
      <c r="C233">
        <v>122.4805384223382</v>
      </c>
      <c r="D233">
        <v>52.752736921644093</v>
      </c>
      <c r="E233">
        <v>6.563340186620275</v>
      </c>
      <c r="F233">
        <v>1.9154058375946721</v>
      </c>
      <c r="G233">
        <v>7.9252113096807069</v>
      </c>
      <c r="H233">
        <v>2.3107877765477012</v>
      </c>
      <c r="I233">
        <v>0.28994675523222091</v>
      </c>
      <c r="J233">
        <v>0.70024890000000006</v>
      </c>
      <c r="K233">
        <v>0.372</v>
      </c>
      <c r="L233">
        <v>7</v>
      </c>
      <c r="M233">
        <v>0.13536735375261391</v>
      </c>
      <c r="N233">
        <v>100</v>
      </c>
      <c r="O233">
        <v>4</v>
      </c>
      <c r="P233">
        <v>31.205078122169411</v>
      </c>
      <c r="Q233">
        <v>52.086112328072282</v>
      </c>
      <c r="R233">
        <v>14.77907977566046</v>
      </c>
      <c r="S233">
        <v>1.7611528808908481</v>
      </c>
      <c r="T233">
        <v>0.16857689320700331</v>
      </c>
      <c r="U233" t="s">
        <v>70</v>
      </c>
      <c r="V233">
        <v>972.09354103958185</v>
      </c>
      <c r="W233">
        <v>36.011677219890089</v>
      </c>
      <c r="X233">
        <v>7.21</v>
      </c>
      <c r="AA233">
        <v>2.8</v>
      </c>
      <c r="AD233">
        <v>761.28</v>
      </c>
      <c r="AF233">
        <v>77.48</v>
      </c>
      <c r="AH233">
        <v>4.3899999999999997</v>
      </c>
      <c r="AI233">
        <v>13.76</v>
      </c>
      <c r="AK233" t="s">
        <v>136</v>
      </c>
      <c r="AL233">
        <f t="shared" si="12"/>
        <v>13.242901931305916</v>
      </c>
      <c r="AM233">
        <f t="shared" si="13"/>
        <v>6.7073170731707307E-2</v>
      </c>
      <c r="AN233">
        <f t="shared" si="14"/>
        <v>5.3586800573888094E-2</v>
      </c>
    </row>
    <row r="234" spans="1:40" x14ac:dyDescent="0.2">
      <c r="A234" t="s">
        <v>70</v>
      </c>
      <c r="B234">
        <v>2021</v>
      </c>
      <c r="C234">
        <v>115.87566655321081</v>
      </c>
      <c r="D234">
        <v>56.967253800771502</v>
      </c>
      <c r="E234">
        <v>6.5325760154299974</v>
      </c>
      <c r="F234">
        <v>2.0297963467211249</v>
      </c>
      <c r="G234">
        <v>5.5752921488540954</v>
      </c>
      <c r="H234">
        <v>2.7920779441797139</v>
      </c>
      <c r="I234">
        <v>0.29250340367597</v>
      </c>
      <c r="J234">
        <v>0.74541930000000001</v>
      </c>
      <c r="K234">
        <v>0.377</v>
      </c>
      <c r="L234">
        <v>8.3000000000000007</v>
      </c>
      <c r="M234">
        <v>0.138049622460473</v>
      </c>
      <c r="N234">
        <v>96</v>
      </c>
      <c r="O234">
        <v>4</v>
      </c>
      <c r="P234">
        <v>30.206393306335581</v>
      </c>
      <c r="Q234">
        <v>52.362412297214313</v>
      </c>
      <c r="R234">
        <v>15.105042161480601</v>
      </c>
      <c r="S234">
        <v>2.040456404158256</v>
      </c>
      <c r="T234">
        <v>0.28569583081124961</v>
      </c>
      <c r="U234" t="s">
        <v>70</v>
      </c>
      <c r="V234">
        <v>949.07414391973361</v>
      </c>
      <c r="W234">
        <v>35.79408259494879</v>
      </c>
      <c r="X234">
        <v>7.21</v>
      </c>
      <c r="AA234">
        <v>2.08</v>
      </c>
      <c r="AD234">
        <v>761.47</v>
      </c>
      <c r="AF234">
        <v>74.209999999999994</v>
      </c>
      <c r="AH234">
        <v>4.2699999999999996</v>
      </c>
      <c r="AI234">
        <v>14.11</v>
      </c>
      <c r="AK234" t="s">
        <v>136</v>
      </c>
      <c r="AL234">
        <f t="shared" si="12"/>
        <v>13.194696141957756</v>
      </c>
      <c r="AM234">
        <f t="shared" si="13"/>
        <v>5.0638721028073125E-2</v>
      </c>
      <c r="AN234">
        <f t="shared" si="14"/>
        <v>5.6375736250286843E-2</v>
      </c>
    </row>
    <row r="235" spans="1:40" x14ac:dyDescent="0.2">
      <c r="A235" t="s">
        <v>70</v>
      </c>
      <c r="B235">
        <v>2016</v>
      </c>
      <c r="C235">
        <v>106.9896625963482</v>
      </c>
      <c r="D235">
        <v>61.136950055056118</v>
      </c>
      <c r="E235">
        <v>4.022167766780008</v>
      </c>
      <c r="F235">
        <v>2.0067589718128209</v>
      </c>
      <c r="G235">
        <v>5.3628903557066776</v>
      </c>
      <c r="H235">
        <v>2.5430480073834891</v>
      </c>
      <c r="I235">
        <v>0.4497908040270116</v>
      </c>
      <c r="J235">
        <v>0.42906480000000002</v>
      </c>
      <c r="K235">
        <v>0.38500000000000001</v>
      </c>
      <c r="L235">
        <v>9.3000000000000007</v>
      </c>
      <c r="M235">
        <v>0.1701996390764057</v>
      </c>
      <c r="N235">
        <v>97</v>
      </c>
      <c r="O235">
        <v>5</v>
      </c>
      <c r="P235">
        <v>28.278189989000001</v>
      </c>
      <c r="Q235">
        <v>52.009608270000001</v>
      </c>
      <c r="R235">
        <v>17.042471851999998</v>
      </c>
      <c r="S235">
        <v>2.6010077460000001</v>
      </c>
      <c r="T235">
        <v>6.8722143000002234E-2</v>
      </c>
      <c r="U235" t="s">
        <v>70</v>
      </c>
      <c r="AK235" t="s">
        <v>136</v>
      </c>
      <c r="AL235">
        <f t="shared" si="12"/>
        <v>13.114489060030001</v>
      </c>
      <c r="AM235">
        <f t="shared" si="13"/>
        <v>5.4329371816638376E-2</v>
      </c>
      <c r="AN235">
        <f t="shared" si="14"/>
        <v>3.759398496240602E-2</v>
      </c>
    </row>
    <row r="236" spans="1:40" x14ac:dyDescent="0.2">
      <c r="A236" t="s">
        <v>70</v>
      </c>
      <c r="B236">
        <v>2017</v>
      </c>
      <c r="C236">
        <v>109.7541041029353</v>
      </c>
      <c r="D236">
        <v>63.275100521440102</v>
      </c>
      <c r="E236">
        <v>4.2379441300581808</v>
      </c>
      <c r="F236">
        <v>2.5946596714641919</v>
      </c>
      <c r="G236">
        <v>4.9557999724966084</v>
      </c>
      <c r="H236">
        <v>1.8162617700249339</v>
      </c>
      <c r="I236">
        <v>8.6488655715472998E-2</v>
      </c>
      <c r="J236">
        <v>0.44728010000000001</v>
      </c>
      <c r="K236">
        <v>0.38500000000000001</v>
      </c>
      <c r="L236">
        <v>8.9</v>
      </c>
      <c r="M236">
        <v>0.1630458575024625</v>
      </c>
      <c r="N236">
        <v>104</v>
      </c>
      <c r="O236">
        <v>5</v>
      </c>
      <c r="P236">
        <v>31.022878278</v>
      </c>
      <c r="Q236">
        <v>50.801464993000003</v>
      </c>
      <c r="R236">
        <v>15.383624177</v>
      </c>
      <c r="S236">
        <v>2.5573503729999998</v>
      </c>
      <c r="T236">
        <v>0.2346821789999893</v>
      </c>
      <c r="U236" t="s">
        <v>70</v>
      </c>
      <c r="V236">
        <v>2666.9274597075978</v>
      </c>
      <c r="W236">
        <v>35.223412998418077</v>
      </c>
      <c r="AK236" t="s">
        <v>136</v>
      </c>
      <c r="AL236">
        <f t="shared" si="12"/>
        <v>13.189369670989999</v>
      </c>
      <c r="AM236">
        <f t="shared" si="13"/>
        <v>4.5941686367218307E-2</v>
      </c>
      <c r="AN236">
        <f t="shared" si="14"/>
        <v>3.861308116627267E-2</v>
      </c>
    </row>
    <row r="237" spans="1:40" x14ac:dyDescent="0.2">
      <c r="A237" t="s">
        <v>70</v>
      </c>
      <c r="B237">
        <v>2020</v>
      </c>
      <c r="C237">
        <v>116.15180656695669</v>
      </c>
      <c r="D237">
        <v>54.731952981074642</v>
      </c>
      <c r="E237">
        <v>7.2496140414316317</v>
      </c>
      <c r="F237">
        <v>1.7114706272144891</v>
      </c>
      <c r="G237">
        <v>4.783340983753317</v>
      </c>
      <c r="H237">
        <v>1.913336393501327</v>
      </c>
      <c r="I237">
        <v>0.2720799458648675</v>
      </c>
      <c r="J237">
        <v>0.53523750000000003</v>
      </c>
      <c r="K237">
        <v>0.377</v>
      </c>
      <c r="L237">
        <v>8.6</v>
      </c>
      <c r="M237">
        <v>0.1419060093871613</v>
      </c>
      <c r="N237">
        <v>96</v>
      </c>
      <c r="O237">
        <v>4</v>
      </c>
      <c r="P237">
        <v>30.013805870999999</v>
      </c>
      <c r="Q237">
        <v>53.138130287999999</v>
      </c>
      <c r="R237">
        <v>14.723225352</v>
      </c>
      <c r="S237">
        <v>1.8988296440000001</v>
      </c>
      <c r="T237">
        <v>0.22600884499999549</v>
      </c>
      <c r="U237" t="s">
        <v>70</v>
      </c>
      <c r="V237">
        <v>2615.3934511023031</v>
      </c>
      <c r="W237">
        <v>36.404152708093129</v>
      </c>
      <c r="X237">
        <v>8.1199999999999992</v>
      </c>
      <c r="AA237">
        <v>2.29</v>
      </c>
      <c r="AD237">
        <v>762.47</v>
      </c>
      <c r="AF237">
        <v>71.739999999999995</v>
      </c>
      <c r="AH237">
        <v>4.5</v>
      </c>
      <c r="AI237">
        <v>13.72</v>
      </c>
      <c r="AK237" t="s">
        <v>136</v>
      </c>
      <c r="AL237">
        <f t="shared" si="12"/>
        <v>13.209517628569998</v>
      </c>
      <c r="AM237">
        <f t="shared" si="13"/>
        <v>4.352425570500227E-2</v>
      </c>
      <c r="AN237">
        <f t="shared" si="14"/>
        <v>6.2414991688076155E-2</v>
      </c>
    </row>
    <row r="238" spans="1:40" x14ac:dyDescent="0.2">
      <c r="A238" t="s">
        <v>70</v>
      </c>
      <c r="B238">
        <v>2018</v>
      </c>
      <c r="C238">
        <v>107.32037270007589</v>
      </c>
      <c r="D238">
        <v>57.033509795244477</v>
      </c>
      <c r="E238">
        <v>3.5645943622027798</v>
      </c>
      <c r="F238">
        <v>2.1648390150938841</v>
      </c>
      <c r="G238">
        <v>4.7383022619524757</v>
      </c>
      <c r="H238">
        <v>1.9127091699624681</v>
      </c>
      <c r="I238">
        <v>9.5635458498123299E-2</v>
      </c>
      <c r="J238">
        <v>0.51929340000000002</v>
      </c>
      <c r="K238">
        <v>0.38900000000000001</v>
      </c>
      <c r="L238">
        <v>8.8000000000000007</v>
      </c>
      <c r="M238">
        <v>0.15510970506844449</v>
      </c>
      <c r="N238">
        <v>98</v>
      </c>
      <c r="O238">
        <v>4</v>
      </c>
      <c r="P238">
        <v>30.483491313999998</v>
      </c>
      <c r="Q238">
        <v>52.028537442000001</v>
      </c>
      <c r="R238">
        <v>15.289100071</v>
      </c>
      <c r="S238">
        <v>1.9770749160000001</v>
      </c>
      <c r="T238">
        <v>0.22179625699997979</v>
      </c>
      <c r="U238" t="s">
        <v>70</v>
      </c>
      <c r="V238">
        <v>2606.5576700017359</v>
      </c>
      <c r="W238">
        <v>33.712162970086347</v>
      </c>
      <c r="X238">
        <v>-2.2000000000000002</v>
      </c>
      <c r="AA238">
        <v>-4.26</v>
      </c>
      <c r="AD238">
        <v>767.19</v>
      </c>
      <c r="AF238">
        <v>87.45</v>
      </c>
      <c r="AH238">
        <v>3.97</v>
      </c>
      <c r="AI238">
        <v>12</v>
      </c>
      <c r="AK238" t="s">
        <v>136</v>
      </c>
      <c r="AL238">
        <f t="shared" si="12"/>
        <v>13.204843165089999</v>
      </c>
      <c r="AM238">
        <f t="shared" si="13"/>
        <v>4.5042125729099158E-2</v>
      </c>
      <c r="AN238">
        <f t="shared" si="14"/>
        <v>3.3214517174335705E-2</v>
      </c>
    </row>
    <row r="239" spans="1:40" x14ac:dyDescent="0.2">
      <c r="A239" t="s">
        <v>70</v>
      </c>
      <c r="B239">
        <v>2019</v>
      </c>
      <c r="C239">
        <v>106.4740152180659</v>
      </c>
      <c r="D239">
        <v>54.41267094101142</v>
      </c>
      <c r="E239">
        <v>4.623984406071493</v>
      </c>
      <c r="F239">
        <v>1.6258243847434739</v>
      </c>
      <c r="G239">
        <v>4.6939123365980926</v>
      </c>
      <c r="H239">
        <v>1.9492410634290041</v>
      </c>
      <c r="I239">
        <v>0.16607883500067741</v>
      </c>
      <c r="J239">
        <v>0.49104520000000002</v>
      </c>
      <c r="K239">
        <v>0.38800000000000001</v>
      </c>
      <c r="L239">
        <v>8.6999999999999993</v>
      </c>
      <c r="M239">
        <v>0.14751326157224931</v>
      </c>
      <c r="N239">
        <v>76</v>
      </c>
      <c r="O239">
        <v>4</v>
      </c>
      <c r="P239">
        <v>31.769385417943202</v>
      </c>
      <c r="Q239">
        <v>50.419461146117143</v>
      </c>
      <c r="R239">
        <v>15.568455761797001</v>
      </c>
      <c r="S239">
        <v>2.043497922974272</v>
      </c>
      <c r="T239">
        <v>0.19919975116837921</v>
      </c>
      <c r="U239" t="s">
        <v>70</v>
      </c>
      <c r="V239">
        <v>2534.7442958044589</v>
      </c>
      <c r="W239">
        <v>33.485466613758049</v>
      </c>
      <c r="X239">
        <v>7.73</v>
      </c>
      <c r="AA239">
        <v>3.03</v>
      </c>
      <c r="AD239">
        <v>761.52</v>
      </c>
      <c r="AF239">
        <v>76.63</v>
      </c>
      <c r="AH239">
        <v>4.26</v>
      </c>
      <c r="AI239">
        <v>12.97</v>
      </c>
      <c r="AK239" t="s">
        <v>136</v>
      </c>
      <c r="AL239">
        <f t="shared" si="12"/>
        <v>13.224350698598798</v>
      </c>
      <c r="AM239">
        <f t="shared" si="13"/>
        <v>4.564485674410966E-2</v>
      </c>
      <c r="AN239">
        <f t="shared" si="14"/>
        <v>4.3428289959773415E-2</v>
      </c>
    </row>
    <row r="240" spans="1:40" x14ac:dyDescent="0.2">
      <c r="A240" t="s">
        <v>71</v>
      </c>
      <c r="B240">
        <v>2018</v>
      </c>
      <c r="C240">
        <v>204.801132617582</v>
      </c>
      <c r="D240">
        <v>99.867444878583683</v>
      </c>
      <c r="E240">
        <v>12.839108618858919</v>
      </c>
      <c r="F240">
        <v>4.0252340534800934</v>
      </c>
      <c r="G240">
        <v>15.4069303426307</v>
      </c>
      <c r="H240">
        <v>6.3154534287360073</v>
      </c>
      <c r="I240">
        <v>0.2082017613869013</v>
      </c>
      <c r="J240">
        <v>1.2472551999999999</v>
      </c>
      <c r="K240">
        <v>0.38900000000000001</v>
      </c>
      <c r="L240">
        <v>9.5</v>
      </c>
      <c r="M240">
        <v>0.1626457129262934</v>
      </c>
      <c r="N240">
        <v>29</v>
      </c>
      <c r="O240">
        <v>1</v>
      </c>
      <c r="P240">
        <v>35.568144865999997</v>
      </c>
      <c r="Q240">
        <v>39.212962759</v>
      </c>
      <c r="R240">
        <v>21.714817700000001</v>
      </c>
      <c r="S240">
        <v>3.2178165769999998</v>
      </c>
      <c r="T240">
        <v>0.28625809800000468</v>
      </c>
      <c r="U240" t="s">
        <v>71</v>
      </c>
      <c r="V240">
        <v>2771.8004070750512</v>
      </c>
      <c r="W240">
        <v>34.771424139364733</v>
      </c>
      <c r="AK240" t="s">
        <v>133</v>
      </c>
      <c r="AL240">
        <f t="shared" si="12"/>
        <v>13.122590651420001</v>
      </c>
      <c r="AM240">
        <f t="shared" si="13"/>
        <v>7.6245340562521163E-2</v>
      </c>
      <c r="AN240">
        <f t="shared" si="14"/>
        <v>6.2690613351406299E-2</v>
      </c>
    </row>
    <row r="241" spans="1:40" x14ac:dyDescent="0.2">
      <c r="A241" t="s">
        <v>71</v>
      </c>
      <c r="B241">
        <v>2017</v>
      </c>
      <c r="C241">
        <v>190.35515559524629</v>
      </c>
      <c r="D241">
        <v>117.950127086625</v>
      </c>
      <c r="E241">
        <v>12.43388060726798</v>
      </c>
      <c r="F241">
        <v>6.1138970941814934</v>
      </c>
      <c r="G241">
        <v>15.3190904719379</v>
      </c>
      <c r="H241">
        <v>9.5486707425980644</v>
      </c>
      <c r="I241">
        <v>0</v>
      </c>
      <c r="J241">
        <v>1.1259916000000001</v>
      </c>
      <c r="K241">
        <v>0.38700000000000001</v>
      </c>
      <c r="L241">
        <v>11.1</v>
      </c>
      <c r="M241">
        <v>0.1690254835228687</v>
      </c>
      <c r="N241">
        <v>26</v>
      </c>
      <c r="O241">
        <v>1</v>
      </c>
      <c r="P241">
        <v>32.859169379000001</v>
      </c>
      <c r="Q241">
        <v>36.589636228000003</v>
      </c>
      <c r="R241">
        <v>27.484262146999999</v>
      </c>
      <c r="S241">
        <v>2.8286068879999999</v>
      </c>
      <c r="T241">
        <v>0.23832535800001151</v>
      </c>
      <c r="U241" t="s">
        <v>71</v>
      </c>
      <c r="V241">
        <v>2803.2181055496949</v>
      </c>
      <c r="W241">
        <v>36.323849540943449</v>
      </c>
      <c r="AK241" t="s">
        <v>133</v>
      </c>
      <c r="AL241">
        <f t="shared" si="12"/>
        <v>12.972904586899999</v>
      </c>
      <c r="AM241">
        <f t="shared" si="13"/>
        <v>8.0476362324070724E-2</v>
      </c>
      <c r="AN241">
        <f t="shared" si="14"/>
        <v>6.5319379285456503E-2</v>
      </c>
    </row>
    <row r="242" spans="1:40" x14ac:dyDescent="0.2">
      <c r="A242" t="s">
        <v>71</v>
      </c>
      <c r="B242">
        <v>2020</v>
      </c>
      <c r="C242">
        <v>189.0131217489957</v>
      </c>
      <c r="D242">
        <v>94.185474031209637</v>
      </c>
      <c r="E242">
        <v>13.34294215442136</v>
      </c>
      <c r="F242">
        <v>7.2066158160243736</v>
      </c>
      <c r="G242">
        <v>14.69864215941605</v>
      </c>
      <c r="H242">
        <v>7.3493210797080257</v>
      </c>
      <c r="I242">
        <v>0.28541052736730188</v>
      </c>
      <c r="J242">
        <v>2.0663803999999999</v>
      </c>
      <c r="K242">
        <v>0.39200000000000002</v>
      </c>
      <c r="L242">
        <v>8.6</v>
      </c>
      <c r="M242">
        <v>0.1481257077734259</v>
      </c>
      <c r="N242">
        <v>28</v>
      </c>
      <c r="O242">
        <v>1</v>
      </c>
      <c r="P242">
        <v>39.789381859999999</v>
      </c>
      <c r="Q242">
        <v>44.570645409000001</v>
      </c>
      <c r="R242">
        <v>13.670620414</v>
      </c>
      <c r="S242">
        <v>1.8467022259999999</v>
      </c>
      <c r="T242">
        <v>0.12265009099999701</v>
      </c>
      <c r="U242" t="s">
        <v>71</v>
      </c>
      <c r="V242">
        <v>2650.0910451161708</v>
      </c>
      <c r="W242">
        <v>33.286205454718953</v>
      </c>
      <c r="AK242" t="s">
        <v>133</v>
      </c>
      <c r="AL242">
        <f t="shared" si="12"/>
        <v>13.437468631689999</v>
      </c>
      <c r="AM242">
        <f t="shared" si="13"/>
        <v>7.9275198187995471E-2</v>
      </c>
      <c r="AN242">
        <f t="shared" si="14"/>
        <v>7.059267648169118E-2</v>
      </c>
    </row>
    <row r="243" spans="1:40" x14ac:dyDescent="0.2">
      <c r="A243" t="s">
        <v>71</v>
      </c>
      <c r="B243">
        <v>2016</v>
      </c>
      <c r="C243">
        <v>204.03840240527521</v>
      </c>
      <c r="D243">
        <v>130.1035224982063</v>
      </c>
      <c r="E243">
        <v>12.09470771123031</v>
      </c>
      <c r="F243">
        <v>6.5598414704977968</v>
      </c>
      <c r="G243">
        <v>13.2563463049643</v>
      </c>
      <c r="H243">
        <v>9.2931087498718803</v>
      </c>
      <c r="I243">
        <v>0.81998018381222459</v>
      </c>
      <c r="J243">
        <v>1.0609915000000001</v>
      </c>
      <c r="K243">
        <v>0.38600000000000001</v>
      </c>
      <c r="L243">
        <v>13</v>
      </c>
      <c r="M243">
        <v>0.17561837212978421</v>
      </c>
      <c r="N243">
        <v>24</v>
      </c>
      <c r="O243">
        <v>1</v>
      </c>
      <c r="P243">
        <v>30.423793157999999</v>
      </c>
      <c r="Q243">
        <v>43.078144799</v>
      </c>
      <c r="R243">
        <v>23.044310128999999</v>
      </c>
      <c r="S243">
        <v>3.3407426999999998</v>
      </c>
      <c r="T243">
        <v>0.1130092140000158</v>
      </c>
      <c r="U243" t="s">
        <v>71</v>
      </c>
      <c r="AK243" t="s">
        <v>133</v>
      </c>
      <c r="AL243">
        <f t="shared" si="12"/>
        <v>13.003789123319997</v>
      </c>
      <c r="AM243">
        <f t="shared" si="13"/>
        <v>6.8988613529805773E-2</v>
      </c>
      <c r="AN243">
        <f t="shared" si="14"/>
        <v>5.9276624246483577E-2</v>
      </c>
    </row>
    <row r="244" spans="1:40" x14ac:dyDescent="0.2">
      <c r="A244" t="s">
        <v>71</v>
      </c>
      <c r="B244">
        <v>2019</v>
      </c>
      <c r="C244">
        <v>204.27092626421401</v>
      </c>
      <c r="D244">
        <v>110.1009671892037</v>
      </c>
      <c r="E244">
        <v>15.64779019216336</v>
      </c>
      <c r="F244">
        <v>6.7264256482150193</v>
      </c>
      <c r="G244">
        <v>10.620672076128979</v>
      </c>
      <c r="H244">
        <v>6.6556211677074932</v>
      </c>
      <c r="I244">
        <v>0.14160896101505299</v>
      </c>
      <c r="J244">
        <v>1.5395961</v>
      </c>
      <c r="K244">
        <v>0.39</v>
      </c>
      <c r="L244">
        <v>9.1999999999999993</v>
      </c>
      <c r="M244">
        <v>0.15331498623967971</v>
      </c>
      <c r="N244">
        <v>19</v>
      </c>
      <c r="O244">
        <v>1</v>
      </c>
      <c r="P244">
        <v>40.421785087150738</v>
      </c>
      <c r="Q244">
        <v>39.630937674037767</v>
      </c>
      <c r="R244">
        <v>16.085776213165211</v>
      </c>
      <c r="S244">
        <v>3.377519322534253</v>
      </c>
      <c r="T244">
        <v>0.48398170311202188</v>
      </c>
      <c r="U244" t="s">
        <v>71</v>
      </c>
      <c r="V244">
        <v>2533.0341735657962</v>
      </c>
      <c r="W244">
        <v>29.435539394631611</v>
      </c>
      <c r="AK244" t="s">
        <v>133</v>
      </c>
      <c r="AL244">
        <f t="shared" si="12"/>
        <v>13.30806105129826</v>
      </c>
      <c r="AM244">
        <f t="shared" si="13"/>
        <v>5.2686308492201045E-2</v>
      </c>
      <c r="AN244">
        <f t="shared" si="14"/>
        <v>7.6603119584055454E-2</v>
      </c>
    </row>
    <row r="245" spans="1:40" x14ac:dyDescent="0.2">
      <c r="A245" t="s">
        <v>71</v>
      </c>
      <c r="B245">
        <v>2021</v>
      </c>
      <c r="C245">
        <v>184.27147316483729</v>
      </c>
      <c r="D245">
        <v>89.042967907130631</v>
      </c>
      <c r="E245">
        <v>14.67266999438986</v>
      </c>
      <c r="F245">
        <v>5.2505142626983323</v>
      </c>
      <c r="G245">
        <v>10.42910367248299</v>
      </c>
      <c r="H245">
        <v>6.9047858797128754</v>
      </c>
      <c r="I245">
        <v>0.71924852913675785</v>
      </c>
      <c r="J245">
        <v>2.3433114000000002</v>
      </c>
      <c r="K245">
        <v>0.4</v>
      </c>
      <c r="L245">
        <v>7.8</v>
      </c>
      <c r="M245">
        <v>0.1441104946631136</v>
      </c>
      <c r="N245">
        <v>28</v>
      </c>
      <c r="O245">
        <v>1</v>
      </c>
      <c r="P245">
        <v>40.738325558302051</v>
      </c>
      <c r="Q245">
        <v>47.119462790997062</v>
      </c>
      <c r="R245">
        <v>10.7511770530602</v>
      </c>
      <c r="S245">
        <v>1.162330922463074</v>
      </c>
      <c r="T245">
        <v>0.22870367517761281</v>
      </c>
      <c r="U245" t="s">
        <v>71</v>
      </c>
      <c r="V245">
        <v>909.96437253176975</v>
      </c>
      <c r="W245">
        <v>28.20186179359472</v>
      </c>
      <c r="AK245" t="s">
        <v>133</v>
      </c>
      <c r="AL245">
        <f t="shared" si="12"/>
        <v>13.532666402440329</v>
      </c>
      <c r="AM245">
        <f t="shared" si="13"/>
        <v>6.0499609679937574E-2</v>
      </c>
      <c r="AN245">
        <f t="shared" si="14"/>
        <v>7.9625292740046871E-2</v>
      </c>
    </row>
    <row r="246" spans="1:40" x14ac:dyDescent="0.2">
      <c r="A246" t="s">
        <v>71</v>
      </c>
      <c r="B246">
        <v>2022</v>
      </c>
      <c r="C246">
        <v>175.56122937008391</v>
      </c>
      <c r="D246">
        <v>88.369252503550214</v>
      </c>
      <c r="E246">
        <v>15.23100355390083</v>
      </c>
      <c r="F246">
        <v>7.2843930040395266</v>
      </c>
      <c r="G246">
        <v>9.6389442780725059</v>
      </c>
      <c r="H246">
        <v>8.4616686410560167</v>
      </c>
      <c r="I246">
        <v>1.3244350916435501</v>
      </c>
      <c r="J246">
        <v>2.3382190999999999</v>
      </c>
      <c r="K246">
        <v>0.40899999999999997</v>
      </c>
      <c r="L246">
        <v>6.7</v>
      </c>
      <c r="M246">
        <v>0.1425165738335773</v>
      </c>
      <c r="N246">
        <v>26</v>
      </c>
      <c r="O246">
        <v>1</v>
      </c>
      <c r="P246">
        <v>35.174178872830872</v>
      </c>
      <c r="Q246">
        <v>51.295314091791049</v>
      </c>
      <c r="R246">
        <v>11.088279433205461</v>
      </c>
      <c r="S246">
        <v>2.3938554505156961</v>
      </c>
      <c r="T246">
        <v>4.8372151656920437E-2</v>
      </c>
      <c r="U246" t="s">
        <v>71</v>
      </c>
      <c r="V246">
        <v>904.82925335795869</v>
      </c>
      <c r="W246">
        <v>30.127149055339011</v>
      </c>
      <c r="AK246" t="s">
        <v>133</v>
      </c>
      <c r="AL246">
        <f t="shared" si="12"/>
        <v>13.381610277122757</v>
      </c>
      <c r="AM246">
        <f t="shared" si="13"/>
        <v>6.244761106454319E-2</v>
      </c>
      <c r="AN246">
        <f t="shared" si="14"/>
        <v>8.6756077116513022E-2</v>
      </c>
    </row>
    <row r="247" spans="1:40" x14ac:dyDescent="0.2">
      <c r="A247" t="s">
        <v>72</v>
      </c>
      <c r="B247">
        <v>2018</v>
      </c>
      <c r="C247">
        <v>112.3205238497918</v>
      </c>
      <c r="D247">
        <v>55.779216306407577</v>
      </c>
      <c r="E247">
        <v>6.4924311150127574</v>
      </c>
      <c r="F247">
        <v>1.919883693152757</v>
      </c>
      <c r="G247">
        <v>7.943335585410642</v>
      </c>
      <c r="H247">
        <v>3.6052777749280769</v>
      </c>
      <c r="I247">
        <v>5.8622402844358899E-2</v>
      </c>
      <c r="J247">
        <v>0.28142630000000002</v>
      </c>
      <c r="K247">
        <v>0.36899999999999999</v>
      </c>
      <c r="L247">
        <v>20.399999999999999</v>
      </c>
      <c r="M247">
        <v>0.16453254864315611</v>
      </c>
      <c r="N247">
        <v>93</v>
      </c>
      <c r="O247">
        <v>3</v>
      </c>
      <c r="P247">
        <v>28.302219220000001</v>
      </c>
      <c r="Q247">
        <v>45.418974145</v>
      </c>
      <c r="R247">
        <v>22.130195148999999</v>
      </c>
      <c r="S247">
        <v>3.7507100329999998</v>
      </c>
      <c r="T247">
        <v>0.39790145299998869</v>
      </c>
      <c r="U247" t="s">
        <v>123</v>
      </c>
      <c r="V247">
        <v>2834.371108957816</v>
      </c>
      <c r="W247">
        <v>33.218036502785061</v>
      </c>
      <c r="AK247" t="s">
        <v>135</v>
      </c>
      <c r="AL247">
        <f t="shared" si="12"/>
        <v>12.937600949329999</v>
      </c>
      <c r="AM247">
        <f t="shared" si="13"/>
        <v>7.1242171189979123E-2</v>
      </c>
      <c r="AN247">
        <f t="shared" si="14"/>
        <v>5.7802713987473914E-2</v>
      </c>
    </row>
    <row r="248" spans="1:40" x14ac:dyDescent="0.2">
      <c r="A248" t="s">
        <v>72</v>
      </c>
      <c r="B248">
        <v>2021</v>
      </c>
      <c r="C248">
        <v>113.3664627175967</v>
      </c>
      <c r="D248">
        <v>49.294273039038579</v>
      </c>
      <c r="E248">
        <v>4.5162971693922396</v>
      </c>
      <c r="F248">
        <v>2.176707160330031</v>
      </c>
      <c r="G248">
        <v>6.8558871784544486</v>
      </c>
      <c r="H248">
        <v>3.8499582427605978</v>
      </c>
      <c r="I248">
        <v>2.9615063405850701E-2</v>
      </c>
      <c r="J248">
        <v>0.3339647</v>
      </c>
      <c r="K248">
        <v>0.35499999999999998</v>
      </c>
      <c r="L248">
        <v>17.899999999999999</v>
      </c>
      <c r="M248">
        <v>0.14240448139054909</v>
      </c>
      <c r="N248">
        <v>102</v>
      </c>
      <c r="O248">
        <v>3</v>
      </c>
      <c r="P248">
        <v>27.79379164235155</v>
      </c>
      <c r="Q248">
        <v>45.354480116310803</v>
      </c>
      <c r="R248">
        <v>22.636907837629909</v>
      </c>
      <c r="S248">
        <v>3.899589593367125</v>
      </c>
      <c r="T248">
        <v>0.31523081034062272</v>
      </c>
      <c r="U248" t="s">
        <v>123</v>
      </c>
      <c r="V248">
        <v>810.99202633552943</v>
      </c>
      <c r="W248">
        <v>35.640500087764451</v>
      </c>
      <c r="AK248" t="s">
        <v>135</v>
      </c>
      <c r="AL248">
        <f t="shared" si="12"/>
        <v>12.918783319429092</v>
      </c>
      <c r="AM248">
        <f t="shared" si="13"/>
        <v>6.0736677115987445E-2</v>
      </c>
      <c r="AN248">
        <f t="shared" si="14"/>
        <v>3.9838035527690691E-2</v>
      </c>
    </row>
    <row r="249" spans="1:40" x14ac:dyDescent="0.2">
      <c r="A249" t="s">
        <v>72</v>
      </c>
      <c r="B249">
        <v>2019</v>
      </c>
      <c r="C249">
        <v>113.9657250360093</v>
      </c>
      <c r="D249">
        <v>53.9551427143655</v>
      </c>
      <c r="E249">
        <v>4.5709750433581231</v>
      </c>
      <c r="F249">
        <v>2.5279990593491868</v>
      </c>
      <c r="G249">
        <v>6.7021370410652876</v>
      </c>
      <c r="H249">
        <v>3.527440547929098</v>
      </c>
      <c r="I249">
        <v>0.11758135159763659</v>
      </c>
      <c r="J249">
        <v>0.2973326</v>
      </c>
      <c r="K249">
        <v>0.36199999999999999</v>
      </c>
      <c r="L249">
        <v>20.100000000000001</v>
      </c>
      <c r="M249">
        <v>0.1564668520646729</v>
      </c>
      <c r="N249">
        <v>74</v>
      </c>
      <c r="O249">
        <v>3</v>
      </c>
      <c r="P249">
        <v>28.162468869048158</v>
      </c>
      <c r="Q249">
        <v>45.930806422398831</v>
      </c>
      <c r="R249">
        <v>21.377343103074999</v>
      </c>
      <c r="S249">
        <v>3.7357100343600398</v>
      </c>
      <c r="T249">
        <v>0.79367157111798292</v>
      </c>
      <c r="U249" t="s">
        <v>123</v>
      </c>
      <c r="V249">
        <v>2665.6345265463442</v>
      </c>
      <c r="W249">
        <v>32.287464421472059</v>
      </c>
      <c r="AK249" t="s">
        <v>135</v>
      </c>
      <c r="AL249">
        <f t="shared" si="12"/>
        <v>12.914843672544443</v>
      </c>
      <c r="AM249">
        <f t="shared" si="13"/>
        <v>5.9840082538044875E-2</v>
      </c>
      <c r="AN249">
        <f t="shared" si="14"/>
        <v>4.0108331183905076E-2</v>
      </c>
    </row>
    <row r="250" spans="1:40" x14ac:dyDescent="0.2">
      <c r="A250" t="s">
        <v>72</v>
      </c>
      <c r="B250">
        <v>2020</v>
      </c>
      <c r="C250">
        <v>111.816454401347</v>
      </c>
      <c r="D250">
        <v>48.203091768383771</v>
      </c>
      <c r="E250">
        <v>5.1220384535565051</v>
      </c>
      <c r="F250">
        <v>1.9281236707353511</v>
      </c>
      <c r="G250">
        <v>6.2848000565190443</v>
      </c>
      <c r="H250">
        <v>2.163619691588524</v>
      </c>
      <c r="I250">
        <v>1.47185013033232E-2</v>
      </c>
      <c r="J250">
        <v>0.29041220000000001</v>
      </c>
      <c r="K250">
        <v>0.35299999999999998</v>
      </c>
      <c r="L250">
        <v>19.5</v>
      </c>
      <c r="M250">
        <v>0.14996261542761069</v>
      </c>
      <c r="N250">
        <v>100</v>
      </c>
      <c r="O250">
        <v>3</v>
      </c>
      <c r="P250">
        <v>29.441614964999999</v>
      </c>
      <c r="Q250">
        <v>42.836844902999999</v>
      </c>
      <c r="R250">
        <v>23.159014332000002</v>
      </c>
      <c r="S250">
        <v>4.0571544419999999</v>
      </c>
      <c r="T250">
        <v>0.50537135800000499</v>
      </c>
      <c r="U250" t="s">
        <v>123</v>
      </c>
      <c r="V250">
        <v>2613.1510829457529</v>
      </c>
      <c r="W250">
        <v>37.384835895194421</v>
      </c>
      <c r="AK250" t="s">
        <v>135</v>
      </c>
      <c r="AL250">
        <f t="shared" si="12"/>
        <v>12.917882412760001</v>
      </c>
      <c r="AM250">
        <f t="shared" si="13"/>
        <v>5.63380281690141E-2</v>
      </c>
      <c r="AN250">
        <f t="shared" si="14"/>
        <v>4.5807555614058193E-2</v>
      </c>
    </row>
    <row r="251" spans="1:40" x14ac:dyDescent="0.2">
      <c r="A251" t="s">
        <v>72</v>
      </c>
      <c r="B251">
        <v>2017</v>
      </c>
      <c r="C251">
        <v>107.37800211484419</v>
      </c>
      <c r="D251">
        <v>54.258606890185838</v>
      </c>
      <c r="E251">
        <v>4.9657944394786506</v>
      </c>
      <c r="F251">
        <v>1.9863177757914601</v>
      </c>
      <c r="G251">
        <v>6.002769160663898</v>
      </c>
      <c r="H251">
        <v>2.7019763861869119</v>
      </c>
      <c r="I251">
        <v>2.9210555526345001E-2</v>
      </c>
      <c r="J251">
        <v>0.259602</v>
      </c>
      <c r="K251">
        <v>0.36599999999999999</v>
      </c>
      <c r="L251">
        <v>21.7</v>
      </c>
      <c r="M251">
        <v>0.17490536337264281</v>
      </c>
      <c r="N251">
        <v>103</v>
      </c>
      <c r="O251">
        <v>3</v>
      </c>
      <c r="P251">
        <v>28.242397188999998</v>
      </c>
      <c r="Q251">
        <v>46.717960417999997</v>
      </c>
      <c r="R251">
        <v>20.823891513</v>
      </c>
      <c r="S251">
        <v>3.8306935200000001</v>
      </c>
      <c r="T251">
        <v>0.38505736000000468</v>
      </c>
      <c r="U251" t="s">
        <v>123</v>
      </c>
      <c r="V251">
        <v>2927.0848552913681</v>
      </c>
      <c r="W251">
        <v>34.514323619465983</v>
      </c>
      <c r="AK251" t="s">
        <v>135</v>
      </c>
      <c r="AL251">
        <f t="shared" si="12"/>
        <v>12.960487210319998</v>
      </c>
      <c r="AM251">
        <f t="shared" si="13"/>
        <v>5.6175190424374334E-2</v>
      </c>
      <c r="AN251">
        <f t="shared" si="14"/>
        <v>4.6245919477693159E-2</v>
      </c>
    </row>
    <row r="252" spans="1:40" x14ac:dyDescent="0.2">
      <c r="A252" t="s">
        <v>72</v>
      </c>
      <c r="B252">
        <v>2022</v>
      </c>
      <c r="C252">
        <v>114.4524071081436</v>
      </c>
      <c r="D252">
        <v>45.745478309339383</v>
      </c>
      <c r="E252">
        <v>5.8845185414082328</v>
      </c>
      <c r="F252">
        <v>2.129072035082376</v>
      </c>
      <c r="G252">
        <v>5.7514515392155836</v>
      </c>
      <c r="H252">
        <v>2.3804208170018231</v>
      </c>
      <c r="I252">
        <v>2.9570444931699601E-2</v>
      </c>
      <c r="J252">
        <v>0.38851970000000002</v>
      </c>
      <c r="K252">
        <v>0.34599999999999997</v>
      </c>
      <c r="L252">
        <v>15.4</v>
      </c>
      <c r="M252">
        <v>0.13841186011405321</v>
      </c>
      <c r="N252">
        <v>102</v>
      </c>
      <c r="O252">
        <v>3</v>
      </c>
      <c r="P252">
        <v>29.01947879675992</v>
      </c>
      <c r="Q252">
        <v>43.247874525350632</v>
      </c>
      <c r="R252">
        <v>23.586424358035419</v>
      </c>
      <c r="S252">
        <v>3.8762322412979242</v>
      </c>
      <c r="T252">
        <v>0.26999007855610557</v>
      </c>
      <c r="U252" t="s">
        <v>123</v>
      </c>
      <c r="V252">
        <v>807.26184523079303</v>
      </c>
      <c r="W252">
        <v>36.239990409398779</v>
      </c>
      <c r="AK252" t="s">
        <v>135</v>
      </c>
      <c r="AL252">
        <f t="shared" si="12"/>
        <v>12.929312692052527</v>
      </c>
      <c r="AM252">
        <f t="shared" si="13"/>
        <v>5.0510269990957209E-2</v>
      </c>
      <c r="AN252">
        <f t="shared" si="14"/>
        <v>5.1414545924299157E-2</v>
      </c>
    </row>
    <row r="253" spans="1:40" x14ac:dyDescent="0.2">
      <c r="A253" t="s">
        <v>72</v>
      </c>
      <c r="B253">
        <v>2016</v>
      </c>
      <c r="C253">
        <v>105.1810487486604</v>
      </c>
      <c r="D253">
        <v>61.644784323445577</v>
      </c>
      <c r="E253">
        <v>4.767702098809532</v>
      </c>
      <c r="F253">
        <v>2.7410642035969182</v>
      </c>
      <c r="G253">
        <v>5.0447245449177318</v>
      </c>
      <c r="H253">
        <v>2.478621886231255</v>
      </c>
      <c r="I253">
        <v>0.21870193113805189</v>
      </c>
      <c r="J253">
        <v>0.2484816</v>
      </c>
      <c r="K253">
        <v>0.371</v>
      </c>
      <c r="L253">
        <v>22.1</v>
      </c>
      <c r="M253">
        <v>0.1851605336929652</v>
      </c>
      <c r="N253">
        <v>103</v>
      </c>
      <c r="O253">
        <v>3</v>
      </c>
      <c r="P253">
        <v>29.12695991</v>
      </c>
      <c r="Q253">
        <v>46.699279934000003</v>
      </c>
      <c r="R253">
        <v>20.539165486000002</v>
      </c>
      <c r="S253">
        <v>3.600204899</v>
      </c>
      <c r="T253">
        <v>3.438977099999363E-2</v>
      </c>
      <c r="U253" t="s">
        <v>123</v>
      </c>
      <c r="AK253" t="s">
        <v>135</v>
      </c>
      <c r="AL253">
        <f t="shared" si="12"/>
        <v>13.024652613130002</v>
      </c>
      <c r="AM253">
        <f t="shared" si="13"/>
        <v>5.0041585805378458E-2</v>
      </c>
      <c r="AN253">
        <f t="shared" si="14"/>
        <v>4.5328527862489622E-2</v>
      </c>
    </row>
    <row r="254" spans="1:40" x14ac:dyDescent="0.2">
      <c r="A254" t="s">
        <v>73</v>
      </c>
      <c r="B254">
        <v>2020</v>
      </c>
      <c r="C254">
        <v>104.5055853160668</v>
      </c>
      <c r="D254">
        <v>57.340131638059873</v>
      </c>
      <c r="E254">
        <v>7.3652519561577687</v>
      </c>
      <c r="F254">
        <v>1.708434732098451</v>
      </c>
      <c r="G254">
        <v>11.351599664387489</v>
      </c>
      <c r="H254">
        <v>5.188579556743445</v>
      </c>
      <c r="I254">
        <v>0.35434201850930841</v>
      </c>
      <c r="J254">
        <v>0.33555950000000001</v>
      </c>
      <c r="K254">
        <v>0.34699999999999998</v>
      </c>
      <c r="L254">
        <v>17.8</v>
      </c>
      <c r="M254">
        <v>0.15337931621428469</v>
      </c>
      <c r="N254">
        <v>96</v>
      </c>
      <c r="O254">
        <v>2</v>
      </c>
      <c r="P254">
        <v>39.190778193</v>
      </c>
      <c r="Q254">
        <v>42.069385240000003</v>
      </c>
      <c r="R254">
        <v>16.553432614999998</v>
      </c>
      <c r="S254">
        <v>2.0299879920000001</v>
      </c>
      <c r="T254">
        <v>0.15641596000000391</v>
      </c>
      <c r="U254" t="s">
        <v>124</v>
      </c>
      <c r="V254">
        <v>3023.9848041680129</v>
      </c>
      <c r="W254">
        <v>41.745793731904563</v>
      </c>
      <c r="AK254" t="s">
        <v>135</v>
      </c>
      <c r="AL254">
        <f t="shared" si="12"/>
        <v>13.357469955480001</v>
      </c>
      <c r="AM254">
        <f t="shared" si="13"/>
        <v>0.11201259384838941</v>
      </c>
      <c r="AN254">
        <f t="shared" si="14"/>
        <v>7.0477113102446087E-2</v>
      </c>
    </row>
    <row r="255" spans="1:40" x14ac:dyDescent="0.2">
      <c r="A255" t="s">
        <v>73</v>
      </c>
      <c r="B255">
        <v>2021</v>
      </c>
      <c r="C255">
        <v>109.5427907543985</v>
      </c>
      <c r="D255">
        <v>52.120441868376624</v>
      </c>
      <c r="E255">
        <v>8.3829183596182109</v>
      </c>
      <c r="F255">
        <v>1.7844190688926971</v>
      </c>
      <c r="G255">
        <v>10.937590264004159</v>
      </c>
      <c r="H255">
        <v>5.2248817340958844</v>
      </c>
      <c r="I255">
        <v>0.53917698484527543</v>
      </c>
      <c r="J255">
        <v>0.38743369999999999</v>
      </c>
      <c r="K255">
        <v>0.35599999999999998</v>
      </c>
      <c r="L255">
        <v>16.7</v>
      </c>
      <c r="M255">
        <v>0.14651639863881399</v>
      </c>
      <c r="N255">
        <v>95</v>
      </c>
      <c r="O255">
        <v>2</v>
      </c>
      <c r="P255">
        <v>34.242284775925782</v>
      </c>
      <c r="Q255">
        <v>42.300199737441368</v>
      </c>
      <c r="R255">
        <v>20.30253847787446</v>
      </c>
      <c r="S255">
        <v>2.7606946982541718</v>
      </c>
      <c r="T255">
        <v>0.39428231050420948</v>
      </c>
      <c r="U255" t="s">
        <v>124</v>
      </c>
      <c r="V255">
        <v>1083.214209674316</v>
      </c>
      <c r="W255">
        <v>41.429275721531489</v>
      </c>
      <c r="AK255" t="s">
        <v>135</v>
      </c>
      <c r="AL255">
        <f t="shared" si="12"/>
        <v>13.132881730085478</v>
      </c>
      <c r="AM255">
        <f t="shared" si="13"/>
        <v>0.10476971756709243</v>
      </c>
      <c r="AN255">
        <f t="shared" si="14"/>
        <v>7.6526426813547377E-2</v>
      </c>
    </row>
    <row r="256" spans="1:40" x14ac:dyDescent="0.2">
      <c r="A256" t="s">
        <v>73</v>
      </c>
      <c r="B256">
        <v>2019</v>
      </c>
      <c r="C256">
        <v>101.31941511293471</v>
      </c>
      <c r="D256">
        <v>61.193909772923831</v>
      </c>
      <c r="E256">
        <v>5.593937931173194</v>
      </c>
      <c r="F256">
        <v>1.6970373499064739</v>
      </c>
      <c r="G256">
        <v>10.634767392747239</v>
      </c>
      <c r="H256">
        <v>5.757356342645668</v>
      </c>
      <c r="I256">
        <v>0.4274019992357046</v>
      </c>
      <c r="J256">
        <v>0.32797389999999998</v>
      </c>
      <c r="K256">
        <v>0.34399999999999997</v>
      </c>
      <c r="L256">
        <v>18.2</v>
      </c>
      <c r="M256">
        <v>0.1594457093135723</v>
      </c>
      <c r="N256">
        <v>77</v>
      </c>
      <c r="O256">
        <v>2</v>
      </c>
      <c r="P256">
        <v>34.10308367864473</v>
      </c>
      <c r="Q256">
        <v>43.176050820301491</v>
      </c>
      <c r="R256">
        <v>19.119952612879139</v>
      </c>
      <c r="S256">
        <v>3.3462764179133808</v>
      </c>
      <c r="T256">
        <v>0.25463647026124647</v>
      </c>
      <c r="U256" t="s">
        <v>124</v>
      </c>
      <c r="V256">
        <v>3023.776252971325</v>
      </c>
      <c r="W256">
        <v>41.490342693803882</v>
      </c>
      <c r="AK256" t="s">
        <v>135</v>
      </c>
      <c r="AL256">
        <f t="shared" si="12"/>
        <v>13.142894282275263</v>
      </c>
      <c r="AM256">
        <f t="shared" si="13"/>
        <v>0.10918114143920594</v>
      </c>
      <c r="AN256">
        <f t="shared" si="14"/>
        <v>5.5210918114143921E-2</v>
      </c>
    </row>
    <row r="257" spans="1:40" x14ac:dyDescent="0.2">
      <c r="A257" t="s">
        <v>73</v>
      </c>
      <c r="B257">
        <v>2022</v>
      </c>
      <c r="C257">
        <v>103.74436936936939</v>
      </c>
      <c r="D257">
        <v>49.779893529893528</v>
      </c>
      <c r="E257">
        <v>5.5026617526617523</v>
      </c>
      <c r="F257">
        <v>1.3564701064701059</v>
      </c>
      <c r="G257">
        <v>10.57022932022932</v>
      </c>
      <c r="H257">
        <v>6.0913185913185917</v>
      </c>
      <c r="I257">
        <v>0.4095004095004095</v>
      </c>
      <c r="J257">
        <v>0.4412973</v>
      </c>
      <c r="K257">
        <v>0.35699999999999998</v>
      </c>
      <c r="L257">
        <v>14.1</v>
      </c>
      <c r="M257">
        <v>0.1439125204750204</v>
      </c>
      <c r="N257">
        <v>94</v>
      </c>
      <c r="O257">
        <v>2</v>
      </c>
      <c r="P257">
        <v>31.71951858089874</v>
      </c>
      <c r="Q257">
        <v>44.978666306857477</v>
      </c>
      <c r="R257">
        <v>19.746205131388141</v>
      </c>
      <c r="S257">
        <v>3.2428421537197019</v>
      </c>
      <c r="T257">
        <v>0.31276782713594292</v>
      </c>
      <c r="U257" t="s">
        <v>124</v>
      </c>
      <c r="V257">
        <v>1088.878379837008</v>
      </c>
      <c r="W257">
        <v>43.410688410695514</v>
      </c>
      <c r="AK257" t="s">
        <v>135</v>
      </c>
      <c r="AL257">
        <f t="shared" si="12"/>
        <v>13.08160347839919</v>
      </c>
      <c r="AM257">
        <f t="shared" si="13"/>
        <v>0.10583446404341924</v>
      </c>
      <c r="AN257">
        <f t="shared" si="14"/>
        <v>5.3040582212902414E-2</v>
      </c>
    </row>
    <row r="258" spans="1:40" x14ac:dyDescent="0.2">
      <c r="A258" t="s">
        <v>73</v>
      </c>
      <c r="B258">
        <v>2016</v>
      </c>
      <c r="C258">
        <v>105.28166964516819</v>
      </c>
      <c r="D258">
        <v>63.793186724180849</v>
      </c>
      <c r="E258">
        <v>5.6473875259612631</v>
      </c>
      <c r="F258">
        <v>1.6966931821418709</v>
      </c>
      <c r="G258">
        <v>10.53931312410753</v>
      </c>
      <c r="H258">
        <v>4.5203869451225023</v>
      </c>
      <c r="I258">
        <v>0.64400033190786332</v>
      </c>
      <c r="J258">
        <v>0.27453499999999997</v>
      </c>
      <c r="K258">
        <v>0.36099999999999999</v>
      </c>
      <c r="L258">
        <v>18.5</v>
      </c>
      <c r="M258">
        <v>0.1801569472226496</v>
      </c>
      <c r="N258">
        <v>93</v>
      </c>
      <c r="O258">
        <v>3</v>
      </c>
      <c r="P258">
        <v>35.199920769000002</v>
      </c>
      <c r="Q258">
        <v>43.532144197999997</v>
      </c>
      <c r="R258">
        <v>18.258066305</v>
      </c>
      <c r="S258">
        <v>2.6006294350000001</v>
      </c>
      <c r="T258">
        <v>0.40923929299999878</v>
      </c>
      <c r="U258" t="s">
        <v>124</v>
      </c>
      <c r="AK258" t="s">
        <v>135</v>
      </c>
      <c r="AL258">
        <f t="shared" si="12"/>
        <v>13.197980375509999</v>
      </c>
      <c r="AM258">
        <f t="shared" si="13"/>
        <v>0.10622279731796257</v>
      </c>
      <c r="AN258">
        <f t="shared" si="14"/>
        <v>5.364074814727679E-2</v>
      </c>
    </row>
    <row r="259" spans="1:40" x14ac:dyDescent="0.2">
      <c r="A259" t="s">
        <v>73</v>
      </c>
      <c r="B259">
        <v>2018</v>
      </c>
      <c r="C259">
        <v>96.018165195961515</v>
      </c>
      <c r="D259">
        <v>64.0203911280706</v>
      </c>
      <c r="E259">
        <v>6.1983265760394302</v>
      </c>
      <c r="F259">
        <v>2.111654344542492</v>
      </c>
      <c r="G259">
        <v>9.8005604579060321</v>
      </c>
      <c r="H259">
        <v>5.7759957071309316</v>
      </c>
      <c r="I259">
        <v>0.39748787661976309</v>
      </c>
      <c r="J259">
        <v>0.30421320000000002</v>
      </c>
      <c r="K259">
        <v>0.34799999999999998</v>
      </c>
      <c r="L259">
        <v>17.8</v>
      </c>
      <c r="M259">
        <v>0.1687886477297923</v>
      </c>
      <c r="N259">
        <v>102</v>
      </c>
      <c r="O259">
        <v>3</v>
      </c>
      <c r="P259">
        <v>36.274777647999997</v>
      </c>
      <c r="Q259">
        <v>44.053173439000012</v>
      </c>
      <c r="R259">
        <v>16.986325011999998</v>
      </c>
      <c r="S259">
        <v>2.3408141379999998</v>
      </c>
      <c r="T259">
        <v>0.34490976300000398</v>
      </c>
      <c r="U259" t="s">
        <v>124</v>
      </c>
      <c r="V259">
        <v>2811.097735045159</v>
      </c>
      <c r="W259">
        <v>40.717967847365358</v>
      </c>
      <c r="AK259" t="s">
        <v>135</v>
      </c>
      <c r="AL259">
        <f t="shared" si="12"/>
        <v>13.261094608529998</v>
      </c>
      <c r="AM259">
        <f t="shared" si="13"/>
        <v>0.10620957309184993</v>
      </c>
      <c r="AN259">
        <f t="shared" si="14"/>
        <v>6.4553686934023288E-2</v>
      </c>
    </row>
    <row r="260" spans="1:40" x14ac:dyDescent="0.2">
      <c r="A260" t="s">
        <v>73</v>
      </c>
      <c r="B260">
        <v>2017</v>
      </c>
      <c r="C260">
        <v>98.473670475585038</v>
      </c>
      <c r="D260">
        <v>63.187890286330557</v>
      </c>
      <c r="E260">
        <v>6.060298735623797</v>
      </c>
      <c r="F260">
        <v>1.9788730565302191</v>
      </c>
      <c r="G260">
        <v>8.6575696223197092</v>
      </c>
      <c r="H260">
        <v>4.4648323337963074</v>
      </c>
      <c r="I260">
        <v>0.1236795660331387</v>
      </c>
      <c r="J260">
        <v>0.29036240000000002</v>
      </c>
      <c r="K260">
        <v>0.35499999999999998</v>
      </c>
      <c r="L260">
        <v>18.2</v>
      </c>
      <c r="M260">
        <v>0.1748811028060106</v>
      </c>
      <c r="N260">
        <v>102</v>
      </c>
      <c r="O260">
        <v>3</v>
      </c>
      <c r="P260">
        <v>34.704658805999998</v>
      </c>
      <c r="Q260">
        <v>43.821334475</v>
      </c>
      <c r="R260">
        <v>17.205572019000002</v>
      </c>
      <c r="S260">
        <v>3.5088962609999998</v>
      </c>
      <c r="T260">
        <v>0.7595384389999964</v>
      </c>
      <c r="U260" t="s">
        <v>124</v>
      </c>
      <c r="V260">
        <v>2818.2249001460282</v>
      </c>
      <c r="W260">
        <v>39.686533534119683</v>
      </c>
      <c r="AK260" t="s">
        <v>135</v>
      </c>
      <c r="AL260">
        <f t="shared" si="12"/>
        <v>13.141267425789998</v>
      </c>
      <c r="AM260">
        <f t="shared" si="13"/>
        <v>8.9173574478774179E-2</v>
      </c>
      <c r="AN260">
        <f t="shared" si="14"/>
        <v>6.1542326048731479E-2</v>
      </c>
    </row>
    <row r="261" spans="1:40" x14ac:dyDescent="0.2">
      <c r="A261" t="s">
        <v>74</v>
      </c>
      <c r="B261">
        <v>2018</v>
      </c>
      <c r="C261">
        <v>112.3754524458864</v>
      </c>
      <c r="D261">
        <v>25.665119840389789</v>
      </c>
      <c r="E261">
        <v>8.2141496703945514</v>
      </c>
      <c r="F261">
        <v>1.803067021000653</v>
      </c>
      <c r="G261">
        <v>10.39222264831286</v>
      </c>
      <c r="H261">
        <v>2.0877197303027519</v>
      </c>
      <c r="I261">
        <v>0.1159400080022593</v>
      </c>
      <c r="J261">
        <v>1.4733225000000001</v>
      </c>
      <c r="K261">
        <v>0.41499999999999998</v>
      </c>
      <c r="L261">
        <v>6.7</v>
      </c>
      <c r="M261">
        <v>0.1697008872180035</v>
      </c>
      <c r="N261">
        <v>404</v>
      </c>
      <c r="O261">
        <v>153</v>
      </c>
      <c r="P261">
        <v>49.635343667000001</v>
      </c>
      <c r="Q261">
        <v>42.924780585000001</v>
      </c>
      <c r="R261">
        <v>6.6948328070000001</v>
      </c>
      <c r="S261">
        <v>0.71183967800000003</v>
      </c>
      <c r="T261">
        <v>3.3203262999990102E-2</v>
      </c>
      <c r="U261" t="s">
        <v>74</v>
      </c>
      <c r="V261">
        <v>2260.98548457577</v>
      </c>
      <c r="W261">
        <v>24.471933548050441</v>
      </c>
      <c r="X261">
        <v>6.23</v>
      </c>
      <c r="Y261">
        <v>2.2799999999999998</v>
      </c>
      <c r="Z261">
        <v>10</v>
      </c>
      <c r="AA261">
        <v>1.44</v>
      </c>
      <c r="AC261">
        <v>746.51</v>
      </c>
      <c r="AD261">
        <v>763.81</v>
      </c>
      <c r="AF261">
        <v>74.98</v>
      </c>
      <c r="AG261">
        <v>11.99</v>
      </c>
      <c r="AH261">
        <v>4.08</v>
      </c>
      <c r="AI261">
        <v>11.56</v>
      </c>
      <c r="AJ261">
        <v>12.48</v>
      </c>
      <c r="AK261" t="s">
        <v>136</v>
      </c>
      <c r="AL261">
        <f t="shared" si="12"/>
        <v>13.827348336410001</v>
      </c>
      <c r="AM261">
        <f t="shared" si="13"/>
        <v>9.3509413556090021E-2</v>
      </c>
      <c r="AN261">
        <f t="shared" si="14"/>
        <v>7.3095587084287983E-2</v>
      </c>
    </row>
    <row r="262" spans="1:40" x14ac:dyDescent="0.2">
      <c r="A262" t="s">
        <v>74</v>
      </c>
      <c r="B262">
        <v>2019</v>
      </c>
      <c r="C262">
        <v>112.62612582726069</v>
      </c>
      <c r="D262">
        <v>23.232938407466051</v>
      </c>
      <c r="E262">
        <v>5.6273032090689394</v>
      </c>
      <c r="F262">
        <v>1.8009906875622801</v>
      </c>
      <c r="G262">
        <v>9.9006926442134162</v>
      </c>
      <c r="H262">
        <v>2.0927004468153259</v>
      </c>
      <c r="I262">
        <v>0.16170867089027521</v>
      </c>
      <c r="J262">
        <v>1.5361860000000001</v>
      </c>
      <c r="K262">
        <v>0.41599999999999998</v>
      </c>
      <c r="L262">
        <v>6.5</v>
      </c>
      <c r="M262">
        <v>0.16258300396797551</v>
      </c>
      <c r="N262">
        <v>411</v>
      </c>
      <c r="O262">
        <v>146</v>
      </c>
      <c r="P262">
        <v>50.261167029459223</v>
      </c>
      <c r="Q262">
        <v>42.943416802635582</v>
      </c>
      <c r="R262">
        <v>5.5273543105415213</v>
      </c>
      <c r="S262">
        <v>1.2172865638882859</v>
      </c>
      <c r="T262">
        <v>5.0775293475382448E-2</v>
      </c>
      <c r="U262" t="s">
        <v>74</v>
      </c>
      <c r="V262">
        <v>2319.4385770988752</v>
      </c>
      <c r="W262">
        <v>20.988312460605389</v>
      </c>
      <c r="X262">
        <v>7.41</v>
      </c>
      <c r="Y262">
        <v>4.0999999999999996</v>
      </c>
      <c r="Z262">
        <v>10.9</v>
      </c>
      <c r="AA262">
        <v>2.99</v>
      </c>
      <c r="AC262">
        <v>743.61</v>
      </c>
      <c r="AD262">
        <v>760.76</v>
      </c>
      <c r="AF262">
        <v>76.959999999999994</v>
      </c>
      <c r="AG262">
        <v>11.98</v>
      </c>
      <c r="AH262">
        <v>4.25</v>
      </c>
      <c r="AI262">
        <v>11.36</v>
      </c>
      <c r="AJ262">
        <v>12.48</v>
      </c>
      <c r="AK262" t="s">
        <v>136</v>
      </c>
      <c r="AL262">
        <f t="shared" si="12"/>
        <v>13.841415015410039</v>
      </c>
      <c r="AM262">
        <f t="shared" si="13"/>
        <v>8.9343402706906647E-2</v>
      </c>
      <c r="AN262">
        <f t="shared" si="14"/>
        <v>4.9964456894306786E-2</v>
      </c>
    </row>
    <row r="263" spans="1:40" x14ac:dyDescent="0.2">
      <c r="A263" t="s">
        <v>74</v>
      </c>
      <c r="B263">
        <v>2020</v>
      </c>
      <c r="C263">
        <v>115.6003208372499</v>
      </c>
      <c r="D263">
        <v>23.73861213516653</v>
      </c>
      <c r="E263">
        <v>5.5173973911978313</v>
      </c>
      <c r="F263">
        <v>1.8488605410961709</v>
      </c>
      <c r="G263">
        <v>9.2632330181883233</v>
      </c>
      <c r="H263">
        <v>2.1556893595630688</v>
      </c>
      <c r="I263">
        <v>0.19561323131051639</v>
      </c>
      <c r="J263">
        <v>1.5629636</v>
      </c>
      <c r="K263">
        <v>0.41</v>
      </c>
      <c r="L263">
        <v>6.1</v>
      </c>
      <c r="M263">
        <v>0.15725517890517571</v>
      </c>
      <c r="N263">
        <v>418</v>
      </c>
      <c r="O263">
        <v>144</v>
      </c>
      <c r="P263">
        <v>51.261436005999997</v>
      </c>
      <c r="Q263">
        <v>41.825152684000003</v>
      </c>
      <c r="R263">
        <v>5.6385456339999998</v>
      </c>
      <c r="S263">
        <v>1.2615959590000001</v>
      </c>
      <c r="T263">
        <v>1.3269717000000011E-2</v>
      </c>
      <c r="U263" t="s">
        <v>74</v>
      </c>
      <c r="V263">
        <v>2485.6075789217039</v>
      </c>
      <c r="W263">
        <v>31.169159079945391</v>
      </c>
      <c r="X263">
        <v>7.67</v>
      </c>
      <c r="Y263">
        <v>4.4400000000000004</v>
      </c>
      <c r="Z263">
        <v>11.18</v>
      </c>
      <c r="AA263">
        <v>2.61</v>
      </c>
      <c r="AC263">
        <v>744.47</v>
      </c>
      <c r="AD263">
        <v>761.62</v>
      </c>
      <c r="AF263">
        <v>73.81</v>
      </c>
      <c r="AG263">
        <v>12</v>
      </c>
      <c r="AH263">
        <v>4.42</v>
      </c>
      <c r="AI263">
        <v>11.11</v>
      </c>
      <c r="AJ263">
        <v>12.22</v>
      </c>
      <c r="AK263" t="s">
        <v>136</v>
      </c>
      <c r="AL263">
        <f t="shared" si="12"/>
        <v>13.860799694550002</v>
      </c>
      <c r="AM263">
        <f t="shared" si="13"/>
        <v>8.1823702399716147E-2</v>
      </c>
      <c r="AN263">
        <f t="shared" si="14"/>
        <v>4.7728218669614283E-2</v>
      </c>
    </row>
    <row r="264" spans="1:40" x14ac:dyDescent="0.2">
      <c r="A264" t="s">
        <v>74</v>
      </c>
      <c r="B264">
        <v>2021</v>
      </c>
      <c r="C264">
        <v>113.44404012627371</v>
      </c>
      <c r="D264">
        <v>25.620602052145191</v>
      </c>
      <c r="E264">
        <v>5.9960253021521046</v>
      </c>
      <c r="F264">
        <v>1.9889293207059631</v>
      </c>
      <c r="G264">
        <v>9.1015049328133824</v>
      </c>
      <c r="H264">
        <v>2.5507603683904838</v>
      </c>
      <c r="I264">
        <v>0.1825358256190216</v>
      </c>
      <c r="J264">
        <v>1.8669887000000001</v>
      </c>
      <c r="K264">
        <v>0.42</v>
      </c>
      <c r="L264">
        <v>5.7</v>
      </c>
      <c r="M264">
        <v>0.1520132874987152</v>
      </c>
      <c r="N264">
        <v>409</v>
      </c>
      <c r="O264">
        <v>147</v>
      </c>
      <c r="P264">
        <v>51.365071362279792</v>
      </c>
      <c r="Q264">
        <v>40.986322604385379</v>
      </c>
      <c r="R264">
        <v>5.9364080004326869</v>
      </c>
      <c r="S264">
        <v>1.5834871691696299</v>
      </c>
      <c r="T264">
        <v>0.12871086373250759</v>
      </c>
      <c r="U264" t="s">
        <v>74</v>
      </c>
      <c r="V264">
        <v>952.00199005564207</v>
      </c>
      <c r="W264">
        <v>28.308349825423019</v>
      </c>
      <c r="X264">
        <v>6.11</v>
      </c>
      <c r="Y264">
        <v>2.7</v>
      </c>
      <c r="Z264">
        <v>9.5299999999999994</v>
      </c>
      <c r="AA264">
        <v>1.3</v>
      </c>
      <c r="AC264">
        <v>743.87</v>
      </c>
      <c r="AD264">
        <v>761.11</v>
      </c>
      <c r="AF264">
        <v>74.59</v>
      </c>
      <c r="AG264">
        <v>12</v>
      </c>
      <c r="AH264">
        <v>4.4800000000000004</v>
      </c>
      <c r="AI264">
        <v>11.47</v>
      </c>
      <c r="AJ264">
        <v>12.35</v>
      </c>
      <c r="AK264" t="s">
        <v>136</v>
      </c>
      <c r="AL264">
        <f t="shared" si="12"/>
        <v>13.833649802734231</v>
      </c>
      <c r="AM264">
        <f t="shared" si="13"/>
        <v>8.183806525312752E-2</v>
      </c>
      <c r="AN264">
        <f t="shared" si="14"/>
        <v>5.2854476052492258E-2</v>
      </c>
    </row>
    <row r="265" spans="1:40" x14ac:dyDescent="0.2">
      <c r="A265" t="s">
        <v>74</v>
      </c>
      <c r="B265">
        <v>2017</v>
      </c>
      <c r="C265">
        <v>113.1877902509914</v>
      </c>
      <c r="D265">
        <v>26.92343480123521</v>
      </c>
      <c r="E265">
        <v>8.7038950414937357</v>
      </c>
      <c r="F265">
        <v>1.9150830682425439</v>
      </c>
      <c r="G265">
        <v>8.4244269935764358</v>
      </c>
      <c r="H265">
        <v>2.100856626106645</v>
      </c>
      <c r="I265">
        <v>0.1203489570510919</v>
      </c>
      <c r="J265">
        <v>1.3155425999999999</v>
      </c>
      <c r="K265">
        <v>0.41599999999999998</v>
      </c>
      <c r="L265">
        <v>7.6</v>
      </c>
      <c r="M265">
        <v>0.1745772807895288</v>
      </c>
      <c r="N265">
        <v>411</v>
      </c>
      <c r="O265">
        <v>161</v>
      </c>
      <c r="P265">
        <v>49.077023294</v>
      </c>
      <c r="Q265">
        <v>43.644180433000002</v>
      </c>
      <c r="R265">
        <v>6.6882935860000003</v>
      </c>
      <c r="S265">
        <v>0.58776723399999997</v>
      </c>
      <c r="T265">
        <v>2.7354529999996662E-3</v>
      </c>
      <c r="U265" t="s">
        <v>74</v>
      </c>
      <c r="V265">
        <v>2254.7232719467402</v>
      </c>
      <c r="W265">
        <v>26.010943146556698</v>
      </c>
      <c r="X265">
        <v>5.78</v>
      </c>
      <c r="Y265">
        <v>2.67</v>
      </c>
      <c r="Z265">
        <v>9.07</v>
      </c>
      <c r="AA265">
        <v>2.21</v>
      </c>
      <c r="AC265">
        <v>743.63</v>
      </c>
      <c r="AD265">
        <v>760.88</v>
      </c>
      <c r="AE265">
        <v>0.05</v>
      </c>
      <c r="AF265">
        <v>80.31</v>
      </c>
      <c r="AG265">
        <v>12</v>
      </c>
      <c r="AH265">
        <v>4.25</v>
      </c>
      <c r="AI265">
        <v>11.66</v>
      </c>
      <c r="AJ265">
        <v>12.95</v>
      </c>
      <c r="AK265" t="s">
        <v>136</v>
      </c>
      <c r="AL265">
        <f t="shared" si="12"/>
        <v>13.824017714030001</v>
      </c>
      <c r="AM265">
        <f t="shared" si="13"/>
        <v>7.5492029057901727E-2</v>
      </c>
      <c r="AN265">
        <f t="shared" si="14"/>
        <v>7.6897826366192343E-2</v>
      </c>
    </row>
    <row r="266" spans="1:40" x14ac:dyDescent="0.2">
      <c r="A266" t="s">
        <v>74</v>
      </c>
      <c r="B266">
        <v>2022</v>
      </c>
      <c r="C266">
        <v>106.1687762377406</v>
      </c>
      <c r="D266">
        <v>26.665127944208919</v>
      </c>
      <c r="E266">
        <v>6.5869512135341601</v>
      </c>
      <c r="F266">
        <v>2.212041589147888</v>
      </c>
      <c r="G266">
        <v>8.2281185752638883</v>
      </c>
      <c r="H266">
        <v>2.6899470662058902</v>
      </c>
      <c r="I266">
        <v>0.26584452582326129</v>
      </c>
      <c r="J266">
        <v>2.1828630000000002</v>
      </c>
      <c r="K266">
        <v>0.41599999999999998</v>
      </c>
      <c r="L266">
        <v>4.8</v>
      </c>
      <c r="M266">
        <v>0.14546497667406369</v>
      </c>
      <c r="N266">
        <v>407</v>
      </c>
      <c r="O266">
        <v>146</v>
      </c>
      <c r="P266">
        <v>54.582088674552118</v>
      </c>
      <c r="Q266">
        <v>39.448354766577019</v>
      </c>
      <c r="R266">
        <v>4.9557524781598188</v>
      </c>
      <c r="S266">
        <v>0.96229688686719839</v>
      </c>
      <c r="T266">
        <v>5.1507193843846721E-2</v>
      </c>
      <c r="U266" t="s">
        <v>74</v>
      </c>
      <c r="V266">
        <v>1000.798922538052</v>
      </c>
      <c r="W266">
        <v>26.038428383941291</v>
      </c>
      <c r="X266">
        <v>6.37</v>
      </c>
      <c r="Y266">
        <v>2.86</v>
      </c>
      <c r="Z266">
        <v>9.8000000000000007</v>
      </c>
      <c r="AA266">
        <v>1.1000000000000001</v>
      </c>
      <c r="AC266">
        <v>744.17</v>
      </c>
      <c r="AD266">
        <v>761.4</v>
      </c>
      <c r="AF266">
        <v>72.73</v>
      </c>
      <c r="AG266">
        <v>12</v>
      </c>
      <c r="AH266">
        <v>4.55</v>
      </c>
      <c r="AI266">
        <v>12.32</v>
      </c>
      <c r="AJ266">
        <v>12.22</v>
      </c>
      <c r="AK266" t="s">
        <v>136</v>
      </c>
      <c r="AL266">
        <f t="shared" si="12"/>
        <v>13.949399201007214</v>
      </c>
      <c r="AM266">
        <f t="shared" si="13"/>
        <v>8.000434216239688E-2</v>
      </c>
      <c r="AN266">
        <f t="shared" si="14"/>
        <v>6.2042263713996244E-2</v>
      </c>
    </row>
    <row r="267" spans="1:40" x14ac:dyDescent="0.2">
      <c r="A267" t="s">
        <v>74</v>
      </c>
      <c r="B267">
        <v>2016</v>
      </c>
      <c r="C267">
        <v>141.0350551162251</v>
      </c>
      <c r="D267">
        <v>29.818835590163481</v>
      </c>
      <c r="E267">
        <v>7.4200377189981674</v>
      </c>
      <c r="F267">
        <v>2.2578844693071258</v>
      </c>
      <c r="G267">
        <v>7.5627775417704566</v>
      </c>
      <c r="H267">
        <v>2.0762156039605761</v>
      </c>
      <c r="I267">
        <v>0.16869251782179681</v>
      </c>
      <c r="J267">
        <v>1.2168741000000001</v>
      </c>
      <c r="K267">
        <v>0.42499999999999999</v>
      </c>
      <c r="L267">
        <v>8.5</v>
      </c>
      <c r="M267">
        <v>0.18335850926175121</v>
      </c>
      <c r="N267">
        <v>352</v>
      </c>
      <c r="O267">
        <v>179</v>
      </c>
      <c r="P267">
        <v>48.446484841999997</v>
      </c>
      <c r="Q267">
        <v>44.667824676000002</v>
      </c>
      <c r="R267">
        <v>6.4502670320000002</v>
      </c>
      <c r="S267">
        <v>0.43542344999999999</v>
      </c>
      <c r="T267">
        <v>0</v>
      </c>
      <c r="U267" t="s">
        <v>74</v>
      </c>
      <c r="X267">
        <v>4.5599999999999996</v>
      </c>
      <c r="Y267">
        <v>2.2000000000000002</v>
      </c>
      <c r="Z267">
        <v>7.25</v>
      </c>
      <c r="AA267">
        <v>1.96</v>
      </c>
      <c r="AC267">
        <v>746.33</v>
      </c>
      <c r="AD267">
        <v>763.95</v>
      </c>
      <c r="AE267">
        <v>-0.02</v>
      </c>
      <c r="AF267">
        <v>84.72</v>
      </c>
      <c r="AG267">
        <v>12</v>
      </c>
      <c r="AH267">
        <v>4.2699999999999996</v>
      </c>
      <c r="AI267">
        <v>11.38</v>
      </c>
      <c r="AJ267">
        <v>12.6</v>
      </c>
      <c r="AK267" t="s">
        <v>136</v>
      </c>
      <c r="AL267">
        <f t="shared" si="12"/>
        <v>13.822507418199997</v>
      </c>
      <c r="AM267">
        <f t="shared" si="13"/>
        <v>5.4819491886048136E-2</v>
      </c>
      <c r="AN267">
        <f t="shared" si="14"/>
        <v>5.2611300877525906E-2</v>
      </c>
    </row>
    <row r="268" spans="1:40" x14ac:dyDescent="0.2">
      <c r="A268" t="s">
        <v>75</v>
      </c>
      <c r="B268">
        <v>2016</v>
      </c>
      <c r="C268">
        <v>120.64661678586219</v>
      </c>
      <c r="D268">
        <v>54.715031343908237</v>
      </c>
      <c r="E268">
        <v>6.5025680293092423</v>
      </c>
      <c r="F268">
        <v>3.2792946565123309</v>
      </c>
      <c r="G268">
        <v>5.5625035611090414</v>
      </c>
      <c r="H268">
        <v>2.1875628104484339</v>
      </c>
      <c r="I268">
        <v>0.2473134720119716</v>
      </c>
      <c r="J268">
        <v>0.53362419999999999</v>
      </c>
      <c r="K268">
        <v>0.38800000000000001</v>
      </c>
      <c r="L268">
        <v>8.3000000000000007</v>
      </c>
      <c r="M268">
        <v>0.1842262299769554</v>
      </c>
      <c r="N268">
        <v>396</v>
      </c>
      <c r="O268">
        <v>29</v>
      </c>
      <c r="P268">
        <v>41.997289375000001</v>
      </c>
      <c r="Q268">
        <v>37.364971130000001</v>
      </c>
      <c r="R268">
        <v>18.973608312</v>
      </c>
      <c r="S268">
        <v>1.578552306</v>
      </c>
      <c r="T268">
        <v>8.5578877000003217E-2</v>
      </c>
      <c r="U268" t="s">
        <v>75</v>
      </c>
      <c r="AK268" t="s">
        <v>136</v>
      </c>
      <c r="AL268">
        <f t="shared" si="12"/>
        <v>13.389629430089999</v>
      </c>
      <c r="AM268">
        <f t="shared" si="13"/>
        <v>4.8155656477570023E-2</v>
      </c>
      <c r="AN268">
        <f t="shared" si="14"/>
        <v>5.3897640916452424E-2</v>
      </c>
    </row>
    <row r="269" spans="1:40" x14ac:dyDescent="0.2">
      <c r="A269" t="s">
        <v>75</v>
      </c>
      <c r="B269">
        <v>2017</v>
      </c>
      <c r="C269">
        <v>113.5681830734144</v>
      </c>
      <c r="D269">
        <v>53.109933764129167</v>
      </c>
      <c r="E269">
        <v>6.4390372696326654</v>
      </c>
      <c r="F269">
        <v>2.871972271727373</v>
      </c>
      <c r="G269">
        <v>5.4273809956799184</v>
      </c>
      <c r="H269">
        <v>2.4382128573295239</v>
      </c>
      <c r="I269">
        <v>0.13874912945024359</v>
      </c>
      <c r="J269">
        <v>0.53466650000000004</v>
      </c>
      <c r="K269">
        <v>0.38400000000000001</v>
      </c>
      <c r="L269">
        <v>8.5</v>
      </c>
      <c r="M269">
        <v>0.17542679412324849</v>
      </c>
      <c r="N269">
        <v>444</v>
      </c>
      <c r="O269">
        <v>24</v>
      </c>
      <c r="P269">
        <v>43.180077076000003</v>
      </c>
      <c r="Q269">
        <v>36.973919080000002</v>
      </c>
      <c r="R269">
        <v>17.431143528</v>
      </c>
      <c r="S269">
        <v>2.272805779</v>
      </c>
      <c r="T269">
        <v>0.14205453699999279</v>
      </c>
      <c r="U269" t="s">
        <v>75</v>
      </c>
      <c r="V269">
        <v>2841.6594973131942</v>
      </c>
      <c r="W269">
        <v>28.135613007905761</v>
      </c>
      <c r="AK269" t="s">
        <v>136</v>
      </c>
      <c r="AL269">
        <f t="shared" si="12"/>
        <v>13.411281531470001</v>
      </c>
      <c r="AM269">
        <f t="shared" si="13"/>
        <v>4.9011351370586098E-2</v>
      </c>
      <c r="AN269">
        <f t="shared" si="14"/>
        <v>5.6697545874008118E-2</v>
      </c>
    </row>
    <row r="270" spans="1:40" x14ac:dyDescent="0.2">
      <c r="A270" t="s">
        <v>75</v>
      </c>
      <c r="B270">
        <v>2021</v>
      </c>
      <c r="C270">
        <v>95.712537551084836</v>
      </c>
      <c r="D270">
        <v>50.550697353661199</v>
      </c>
      <c r="E270">
        <v>6.6809374950946996</v>
      </c>
      <c r="F270">
        <v>3.3495496334630128</v>
      </c>
      <c r="G270">
        <v>5.2526438675026093</v>
      </c>
      <c r="H270">
        <v>2.6853476922031132</v>
      </c>
      <c r="I270">
        <v>0.25426480563855558</v>
      </c>
      <c r="J270">
        <v>0.80215609999999993</v>
      </c>
      <c r="K270">
        <v>0.372</v>
      </c>
      <c r="L270">
        <v>6.6</v>
      </c>
      <c r="M270">
        <v>0.14837713893286589</v>
      </c>
      <c r="N270">
        <v>410</v>
      </c>
      <c r="O270">
        <v>24</v>
      </c>
      <c r="P270">
        <v>42.366302295971792</v>
      </c>
      <c r="Q270">
        <v>40.925500989077811</v>
      </c>
      <c r="R270">
        <v>14.56592126521365</v>
      </c>
      <c r="S270">
        <v>2.071363553640809</v>
      </c>
      <c r="T270">
        <v>7.0911896095935845E-2</v>
      </c>
      <c r="U270" t="s">
        <v>75</v>
      </c>
      <c r="V270">
        <v>1040.842204956394</v>
      </c>
      <c r="W270">
        <v>29.900445762501679</v>
      </c>
      <c r="AK270" t="s">
        <v>136</v>
      </c>
      <c r="AL270">
        <f t="shared" si="12"/>
        <v>13.466771007820894</v>
      </c>
      <c r="AM270">
        <f t="shared" si="13"/>
        <v>5.7535917592843593E-2</v>
      </c>
      <c r="AN270">
        <f t="shared" si="14"/>
        <v>6.9802114394144757E-2</v>
      </c>
    </row>
    <row r="271" spans="1:40" x14ac:dyDescent="0.2">
      <c r="A271" t="s">
        <v>75</v>
      </c>
      <c r="B271">
        <v>2019</v>
      </c>
      <c r="C271">
        <v>101.3849722230519</v>
      </c>
      <c r="D271">
        <v>50.695775738004677</v>
      </c>
      <c r="E271">
        <v>5.556837047826038</v>
      </c>
      <c r="F271">
        <v>2.776444748025797</v>
      </c>
      <c r="G271">
        <v>4.9436506721956954</v>
      </c>
      <c r="H271">
        <v>2.4514296519298862</v>
      </c>
      <c r="I271">
        <v>0.20922024404554579</v>
      </c>
      <c r="J271">
        <v>0.62581189999999998</v>
      </c>
      <c r="K271">
        <v>0.38200000000000001</v>
      </c>
      <c r="L271">
        <v>7.9</v>
      </c>
      <c r="M271">
        <v>0.1604051841848983</v>
      </c>
      <c r="N271">
        <v>347</v>
      </c>
      <c r="O271">
        <v>25</v>
      </c>
      <c r="P271">
        <v>42.242414442862533</v>
      </c>
      <c r="Q271">
        <v>38.916871775686047</v>
      </c>
      <c r="R271">
        <v>16.53821461884009</v>
      </c>
      <c r="S271">
        <v>2.2712415214938568</v>
      </c>
      <c r="T271">
        <v>3.1257641117477419E-2</v>
      </c>
      <c r="U271" t="s">
        <v>75</v>
      </c>
      <c r="V271">
        <v>2757.562592618252</v>
      </c>
      <c r="W271">
        <v>26.06713013152007</v>
      </c>
      <c r="AK271" t="s">
        <v>136</v>
      </c>
      <c r="AL271">
        <f t="shared" si="12"/>
        <v>13.42042114792012</v>
      </c>
      <c r="AM271">
        <f t="shared" si="13"/>
        <v>5.0824799802722961E-2</v>
      </c>
      <c r="AN271">
        <f t="shared" si="14"/>
        <v>5.4809277213202015E-2</v>
      </c>
    </row>
    <row r="272" spans="1:40" x14ac:dyDescent="0.2">
      <c r="A272" t="s">
        <v>75</v>
      </c>
      <c r="B272">
        <v>2018</v>
      </c>
      <c r="C272">
        <v>107.0170329791154</v>
      </c>
      <c r="D272">
        <v>52.769516691466578</v>
      </c>
      <c r="E272">
        <v>6.0386079082973882</v>
      </c>
      <c r="F272">
        <v>2.952000996883406</v>
      </c>
      <c r="G272">
        <v>4.9151149781065477</v>
      </c>
      <c r="H272">
        <v>2.4655538800154861</v>
      </c>
      <c r="I272">
        <v>0.16525874655238931</v>
      </c>
      <c r="J272">
        <v>0.5691427</v>
      </c>
      <c r="K272">
        <v>0.38300000000000001</v>
      </c>
      <c r="L272">
        <v>7.9</v>
      </c>
      <c r="M272">
        <v>0.16799555803979591</v>
      </c>
      <c r="N272">
        <v>434</v>
      </c>
      <c r="O272">
        <v>21</v>
      </c>
      <c r="P272">
        <v>40.980381930999997</v>
      </c>
      <c r="Q272">
        <v>37.825943633000001</v>
      </c>
      <c r="R272">
        <v>18.841335407999999</v>
      </c>
      <c r="S272">
        <v>2.2258633579999998</v>
      </c>
      <c r="T272">
        <v>0.12647567000001911</v>
      </c>
      <c r="U272" t="s">
        <v>75</v>
      </c>
      <c r="V272">
        <v>2776.3915148825381</v>
      </c>
      <c r="W272">
        <v>25.145314087853091</v>
      </c>
      <c r="AK272" t="s">
        <v>136</v>
      </c>
      <c r="AL272">
        <f t="shared" si="12"/>
        <v>13.342363585839998</v>
      </c>
      <c r="AM272">
        <f t="shared" si="13"/>
        <v>4.7472571264897456E-2</v>
      </c>
      <c r="AN272">
        <f t="shared" si="14"/>
        <v>5.6426605561713111E-2</v>
      </c>
    </row>
    <row r="273" spans="1:40" x14ac:dyDescent="0.2">
      <c r="A273" t="s">
        <v>75</v>
      </c>
      <c r="B273">
        <v>2020</v>
      </c>
      <c r="C273">
        <v>96.141356308128238</v>
      </c>
      <c r="D273">
        <v>51.366147076082363</v>
      </c>
      <c r="E273">
        <v>6.5766351578489957</v>
      </c>
      <c r="F273">
        <v>3.0776780187086938</v>
      </c>
      <c r="G273">
        <v>4.8902184319236994</v>
      </c>
      <c r="H273">
        <v>2.6186918165100588</v>
      </c>
      <c r="I273">
        <v>0.2106395602158041</v>
      </c>
      <c r="J273">
        <v>0.64320809999999995</v>
      </c>
      <c r="K273">
        <v>0.36499999999999999</v>
      </c>
      <c r="L273">
        <v>7.4</v>
      </c>
      <c r="M273">
        <v>0.15488068549007861</v>
      </c>
      <c r="N273">
        <v>421</v>
      </c>
      <c r="O273">
        <v>24</v>
      </c>
      <c r="P273">
        <v>42.769249772999999</v>
      </c>
      <c r="Q273">
        <v>41.136341524000002</v>
      </c>
      <c r="R273">
        <v>14.02268585</v>
      </c>
      <c r="S273">
        <v>1.987358156</v>
      </c>
      <c r="T273">
        <v>8.4364696999998046E-2</v>
      </c>
      <c r="U273" t="s">
        <v>75</v>
      </c>
      <c r="V273">
        <v>2749.7786826264528</v>
      </c>
      <c r="W273">
        <v>28.71137579837735</v>
      </c>
      <c r="AK273" t="s">
        <v>136</v>
      </c>
      <c r="AL273">
        <f t="shared" si="12"/>
        <v>13.487844129490002</v>
      </c>
      <c r="AM273">
        <f t="shared" si="13"/>
        <v>5.3055814771236519E-2</v>
      </c>
      <c r="AN273">
        <f t="shared" si="14"/>
        <v>6.8405891183511175E-2</v>
      </c>
    </row>
    <row r="274" spans="1:40" x14ac:dyDescent="0.2">
      <c r="A274" t="s">
        <v>75</v>
      </c>
      <c r="B274">
        <v>2022</v>
      </c>
      <c r="C274">
        <v>86.691374422474055</v>
      </c>
      <c r="D274">
        <v>43.389001290876642</v>
      </c>
      <c r="E274">
        <v>6.2711763413346144</v>
      </c>
      <c r="F274">
        <v>3.1045659244389392</v>
      </c>
      <c r="G274">
        <v>4.4449610916646503</v>
      </c>
      <c r="H274">
        <v>2.2944755700981601</v>
      </c>
      <c r="I274">
        <v>0.2552018746333668</v>
      </c>
      <c r="J274">
        <v>0.901231</v>
      </c>
      <c r="K274">
        <v>0.36</v>
      </c>
      <c r="L274">
        <v>6</v>
      </c>
      <c r="M274">
        <v>0.14228979530819549</v>
      </c>
      <c r="N274">
        <v>406</v>
      </c>
      <c r="O274">
        <v>25</v>
      </c>
      <c r="P274">
        <v>42.587881082866197</v>
      </c>
      <c r="Q274">
        <v>41.131644064734239</v>
      </c>
      <c r="R274">
        <v>13.86261887695545</v>
      </c>
      <c r="S274">
        <v>2.392240243285463</v>
      </c>
      <c r="T274">
        <v>2.561573215865565E-2</v>
      </c>
      <c r="U274" t="s">
        <v>75</v>
      </c>
      <c r="V274">
        <v>1036.057434699215</v>
      </c>
      <c r="W274">
        <v>31.156379743193739</v>
      </c>
      <c r="AK274" t="s">
        <v>136</v>
      </c>
      <c r="AL274">
        <f t="shared" si="12"/>
        <v>13.476510218492519</v>
      </c>
      <c r="AM274">
        <f t="shared" si="13"/>
        <v>5.4217192859264865E-2</v>
      </c>
      <c r="AN274">
        <f t="shared" si="14"/>
        <v>7.2339103897156129E-2</v>
      </c>
    </row>
    <row r="275" spans="1:40" x14ac:dyDescent="0.2">
      <c r="A275" t="s">
        <v>76</v>
      </c>
      <c r="B275">
        <v>2016</v>
      </c>
      <c r="C275">
        <v>197.6060553181496</v>
      </c>
      <c r="D275">
        <v>89.638441666130916</v>
      </c>
      <c r="E275">
        <v>14.156890889601179</v>
      </c>
      <c r="F275">
        <v>6.0616159323408203</v>
      </c>
      <c r="G275">
        <v>6.6520330686077829</v>
      </c>
      <c r="H275">
        <v>2.8996041581110852</v>
      </c>
      <c r="I275">
        <v>0.22304647370085259</v>
      </c>
      <c r="J275">
        <v>0.64050790000000002</v>
      </c>
      <c r="K275">
        <v>0.371</v>
      </c>
      <c r="L275">
        <v>11.5</v>
      </c>
      <c r="M275">
        <v>0.18104458175319291</v>
      </c>
      <c r="N275">
        <v>91</v>
      </c>
      <c r="O275">
        <v>3</v>
      </c>
      <c r="P275">
        <v>30.858596508000002</v>
      </c>
      <c r="Q275">
        <v>47.828782898999997</v>
      </c>
      <c r="R275">
        <v>17.792231379</v>
      </c>
      <c r="S275">
        <v>3.4273614590000001</v>
      </c>
      <c r="T275">
        <v>9.3027755000008483E-2</v>
      </c>
      <c r="U275" t="s">
        <v>76</v>
      </c>
      <c r="X275">
        <v>-3.71</v>
      </c>
      <c r="Y275">
        <v>-8.4</v>
      </c>
      <c r="Z275">
        <v>-2.3199999999999998</v>
      </c>
      <c r="AC275">
        <v>740.17</v>
      </c>
      <c r="AF275">
        <v>86.66</v>
      </c>
      <c r="AH275">
        <v>3.22</v>
      </c>
      <c r="AK275" t="s">
        <v>134</v>
      </c>
      <c r="AL275">
        <f t="shared" si="12"/>
        <v>13.115860346270001</v>
      </c>
      <c r="AM275">
        <f t="shared" si="13"/>
        <v>3.4791846490936848E-2</v>
      </c>
      <c r="AN275">
        <f t="shared" si="14"/>
        <v>7.1641989243742099E-2</v>
      </c>
    </row>
    <row r="276" spans="1:40" x14ac:dyDescent="0.2">
      <c r="A276" t="s">
        <v>76</v>
      </c>
      <c r="B276">
        <v>2018</v>
      </c>
      <c r="C276">
        <v>160.372738890356</v>
      </c>
      <c r="D276">
        <v>75.203335646805741</v>
      </c>
      <c r="E276">
        <v>9.9262564079425957</v>
      </c>
      <c r="F276">
        <v>2.5877272721240732</v>
      </c>
      <c r="G276">
        <v>6.1441934717612599</v>
      </c>
      <c r="H276">
        <v>2.6806200459951932</v>
      </c>
      <c r="I276">
        <v>7.9622377603817601E-2</v>
      </c>
      <c r="J276">
        <v>0.73456650000000001</v>
      </c>
      <c r="K276">
        <v>0.36499999999999999</v>
      </c>
      <c r="L276">
        <v>9.4</v>
      </c>
      <c r="M276">
        <v>0.1621300947237341</v>
      </c>
      <c r="N276">
        <v>86</v>
      </c>
      <c r="O276">
        <v>3</v>
      </c>
      <c r="P276">
        <v>31.06861108</v>
      </c>
      <c r="Q276">
        <v>48.647743247999998</v>
      </c>
      <c r="R276">
        <v>15.958750179000001</v>
      </c>
      <c r="S276">
        <v>4.2428667620000002</v>
      </c>
      <c r="T276">
        <v>8.2028730999994082E-2</v>
      </c>
      <c r="U276" t="s">
        <v>76</v>
      </c>
      <c r="V276">
        <v>2444.5091761998219</v>
      </c>
      <c r="W276">
        <v>25.20396992909523</v>
      </c>
      <c r="X276">
        <v>1.21</v>
      </c>
      <c r="Y276">
        <v>-3.09</v>
      </c>
      <c r="Z276">
        <v>5.01</v>
      </c>
      <c r="AC276">
        <v>752.33</v>
      </c>
      <c r="AF276">
        <v>74.12</v>
      </c>
      <c r="AH276">
        <v>2.2999999999999998</v>
      </c>
      <c r="AK276" t="s">
        <v>134</v>
      </c>
      <c r="AL276">
        <f t="shared" si="12"/>
        <v>13.125099961749999</v>
      </c>
      <c r="AM276">
        <f t="shared" si="13"/>
        <v>3.8808440215142737E-2</v>
      </c>
      <c r="AN276">
        <f t="shared" si="14"/>
        <v>6.1894911046752162E-2</v>
      </c>
    </row>
    <row r="277" spans="1:40" x14ac:dyDescent="0.2">
      <c r="A277" t="s">
        <v>76</v>
      </c>
      <c r="B277">
        <v>2021</v>
      </c>
      <c r="C277">
        <v>165.051087241289</v>
      </c>
      <c r="D277">
        <v>62.876604663348168</v>
      </c>
      <c r="E277">
        <v>9.4424067767007234</v>
      </c>
      <c r="F277">
        <v>3.4112741245306091</v>
      </c>
      <c r="G277">
        <v>6.0174875556719938</v>
      </c>
      <c r="H277">
        <v>2.6062134311413852</v>
      </c>
      <c r="I277">
        <v>0.1228058684831019</v>
      </c>
      <c r="J277">
        <v>1.6469509</v>
      </c>
      <c r="K277">
        <v>0.35499999999999998</v>
      </c>
      <c r="L277">
        <v>8.6</v>
      </c>
      <c r="M277">
        <v>0.1432272401729478</v>
      </c>
      <c r="N277">
        <v>81</v>
      </c>
      <c r="O277">
        <v>4</v>
      </c>
      <c r="P277">
        <v>32.63821730897989</v>
      </c>
      <c r="Q277">
        <v>47.989560817645611</v>
      </c>
      <c r="R277">
        <v>14.68716212400483</v>
      </c>
      <c r="S277">
        <v>4.6072839856018462</v>
      </c>
      <c r="T277">
        <v>7.7775763767817807E-2</v>
      </c>
      <c r="U277" t="s">
        <v>76</v>
      </c>
      <c r="V277">
        <v>925.02537140595041</v>
      </c>
      <c r="W277">
        <v>24.559629476624359</v>
      </c>
      <c r="X277">
        <v>-0.26</v>
      </c>
      <c r="Y277">
        <v>-4.3099999999999996</v>
      </c>
      <c r="Z277">
        <v>3.54</v>
      </c>
      <c r="AC277">
        <v>751.21</v>
      </c>
      <c r="AF277">
        <v>81.459999999999994</v>
      </c>
      <c r="AH277">
        <v>2.31</v>
      </c>
      <c r="AK277" t="s">
        <v>134</v>
      </c>
      <c r="AL277">
        <f t="shared" si="12"/>
        <v>13.167729925536323</v>
      </c>
      <c r="AM277">
        <f t="shared" si="13"/>
        <v>3.7202380952380945E-2</v>
      </c>
      <c r="AN277">
        <f t="shared" si="14"/>
        <v>5.7208994708994688E-2</v>
      </c>
    </row>
    <row r="278" spans="1:40" x14ac:dyDescent="0.2">
      <c r="A278" t="s">
        <v>76</v>
      </c>
      <c r="B278">
        <v>2017</v>
      </c>
      <c r="C278">
        <v>168.59353159429321</v>
      </c>
      <c r="D278">
        <v>82.600667088161501</v>
      </c>
      <c r="E278">
        <v>10.40097885354287</v>
      </c>
      <c r="F278">
        <v>4.0653572168670076</v>
      </c>
      <c r="G278">
        <v>5.9000476491543923</v>
      </c>
      <c r="H278">
        <v>2.8114321012749119</v>
      </c>
      <c r="I278">
        <v>9.2394482201522896E-2</v>
      </c>
      <c r="J278">
        <v>0.66630640000000008</v>
      </c>
      <c r="K278">
        <v>0.36899999999999999</v>
      </c>
      <c r="L278">
        <v>10.8</v>
      </c>
      <c r="M278">
        <v>0.1708860060265755</v>
      </c>
      <c r="N278">
        <v>86</v>
      </c>
      <c r="O278">
        <v>3</v>
      </c>
      <c r="P278">
        <v>32.161985774999998</v>
      </c>
      <c r="Q278">
        <v>48.784048515000002</v>
      </c>
      <c r="R278">
        <v>14.574298139</v>
      </c>
      <c r="S278">
        <v>4.2695491490000004</v>
      </c>
      <c r="T278">
        <v>0.21011842199999359</v>
      </c>
      <c r="U278" t="s">
        <v>76</v>
      </c>
      <c r="V278">
        <v>2485.0525269077448</v>
      </c>
      <c r="W278">
        <v>27.127775668750161</v>
      </c>
      <c r="X278">
        <v>0.11</v>
      </c>
      <c r="Y278">
        <v>-3.77</v>
      </c>
      <c r="Z278">
        <v>3.24</v>
      </c>
      <c r="AC278">
        <v>749.52</v>
      </c>
      <c r="AF278">
        <v>76.260000000000005</v>
      </c>
      <c r="AH278">
        <v>2.6</v>
      </c>
      <c r="AK278" t="s">
        <v>134</v>
      </c>
      <c r="AL278">
        <f t="shared" si="12"/>
        <v>13.162061128780001</v>
      </c>
      <c r="AM278">
        <f t="shared" si="13"/>
        <v>3.5543725045016829E-2</v>
      </c>
      <c r="AN278">
        <f t="shared" si="14"/>
        <v>6.1692632897518217E-2</v>
      </c>
    </row>
    <row r="279" spans="1:40" x14ac:dyDescent="0.2">
      <c r="A279" t="s">
        <v>76</v>
      </c>
      <c r="B279">
        <v>2022</v>
      </c>
      <c r="C279">
        <v>181.51343875894409</v>
      </c>
      <c r="D279">
        <v>68.215982201912084</v>
      </c>
      <c r="E279">
        <v>8.8840117852203715</v>
      </c>
      <c r="F279">
        <v>4.0135890806325536</v>
      </c>
      <c r="G279">
        <v>5.3664842763513922</v>
      </c>
      <c r="H279">
        <v>2.946305092898803</v>
      </c>
      <c r="I279">
        <v>9.0193013047922502E-2</v>
      </c>
      <c r="J279">
        <v>1.7352334</v>
      </c>
      <c r="K279">
        <v>0.34599999999999997</v>
      </c>
      <c r="L279">
        <v>7</v>
      </c>
      <c r="M279">
        <v>0.141633094822921</v>
      </c>
      <c r="N279">
        <v>77</v>
      </c>
      <c r="O279">
        <v>4</v>
      </c>
      <c r="P279">
        <v>33.655713178332448</v>
      </c>
      <c r="Q279">
        <v>46.837863419138827</v>
      </c>
      <c r="R279">
        <v>14.77822158964196</v>
      </c>
      <c r="S279">
        <v>4.7015537720522538</v>
      </c>
      <c r="T279">
        <v>2.6648040834515999E-2</v>
      </c>
      <c r="U279" t="s">
        <v>76</v>
      </c>
      <c r="V279">
        <v>972.07897184267176</v>
      </c>
      <c r="W279">
        <v>26.934895583438799</v>
      </c>
      <c r="X279">
        <v>1.8</v>
      </c>
      <c r="Y279">
        <v>-2.02</v>
      </c>
      <c r="Z279">
        <v>5.34</v>
      </c>
      <c r="AC279">
        <v>750.23</v>
      </c>
      <c r="AF279">
        <v>84.31</v>
      </c>
      <c r="AH279">
        <v>2.4900000000000002</v>
      </c>
      <c r="AK279" t="s">
        <v>134</v>
      </c>
      <c r="AL279">
        <f t="shared" si="12"/>
        <v>13.187089357216612</v>
      </c>
      <c r="AM279">
        <f t="shared" si="13"/>
        <v>3.0062111801242249E-2</v>
      </c>
      <c r="AN279">
        <f t="shared" si="14"/>
        <v>4.8944099378882E-2</v>
      </c>
    </row>
    <row r="280" spans="1:40" x14ac:dyDescent="0.2">
      <c r="A280" t="s">
        <v>76</v>
      </c>
      <c r="B280">
        <v>2019</v>
      </c>
      <c r="C280">
        <v>161.9798517758029</v>
      </c>
      <c r="D280">
        <v>72.561412514571103</v>
      </c>
      <c r="E280">
        <v>8.1812056851358719</v>
      </c>
      <c r="F280">
        <v>3.3018918369747721</v>
      </c>
      <c r="G280">
        <v>5.2669853593848588</v>
      </c>
      <c r="H280">
        <v>2.727068561711957</v>
      </c>
      <c r="I280">
        <v>0.1069438651651748</v>
      </c>
      <c r="J280">
        <v>0.88312100000000004</v>
      </c>
      <c r="K280">
        <v>0.35299999999999998</v>
      </c>
      <c r="L280">
        <v>9.9</v>
      </c>
      <c r="M280">
        <v>0.15386112425119289</v>
      </c>
      <c r="N280">
        <v>67</v>
      </c>
      <c r="O280">
        <v>3</v>
      </c>
      <c r="P280">
        <v>35.31763115051308</v>
      </c>
      <c r="Q280">
        <v>46.104270344930832</v>
      </c>
      <c r="R280">
        <v>13.89122577504958</v>
      </c>
      <c r="S280">
        <v>4.5397534432847966</v>
      </c>
      <c r="T280">
        <v>0.14711928622172371</v>
      </c>
      <c r="U280" t="s">
        <v>76</v>
      </c>
      <c r="V280">
        <v>2344.532779573985</v>
      </c>
      <c r="W280">
        <v>25.279688108676691</v>
      </c>
      <c r="X280">
        <v>-0.15</v>
      </c>
      <c r="Y280">
        <v>-3.81</v>
      </c>
      <c r="Z280">
        <v>2.98</v>
      </c>
      <c r="AC280">
        <v>749.72</v>
      </c>
      <c r="AF280">
        <v>77.150000000000006</v>
      </c>
      <c r="AH280">
        <v>2.39</v>
      </c>
      <c r="AK280" t="s">
        <v>134</v>
      </c>
      <c r="AL280">
        <f t="shared" si="12"/>
        <v>13.233697234017923</v>
      </c>
      <c r="AM280">
        <f t="shared" si="13"/>
        <v>3.3176528843773208E-2</v>
      </c>
      <c r="AN280">
        <f t="shared" si="14"/>
        <v>5.050755137410249E-2</v>
      </c>
    </row>
    <row r="281" spans="1:40" x14ac:dyDescent="0.2">
      <c r="A281" t="s">
        <v>76</v>
      </c>
      <c r="B281">
        <v>2020</v>
      </c>
      <c r="C281">
        <v>164.93032139022719</v>
      </c>
      <c r="D281">
        <v>63.811363305296432</v>
      </c>
      <c r="E281">
        <v>7.3644059109473377</v>
      </c>
      <c r="F281">
        <v>3.102222270179281</v>
      </c>
      <c r="G281">
        <v>4.4375266386477552</v>
      </c>
      <c r="H281">
        <v>2.104115974556382</v>
      </c>
      <c r="I281">
        <v>4.04637687414688E-2</v>
      </c>
      <c r="J281">
        <v>1.1649182</v>
      </c>
      <c r="K281">
        <v>0.34899999999999998</v>
      </c>
      <c r="L281">
        <v>9.4</v>
      </c>
      <c r="M281">
        <v>0.14743297122385299</v>
      </c>
      <c r="N281">
        <v>81</v>
      </c>
      <c r="O281">
        <v>4</v>
      </c>
      <c r="P281">
        <v>35.383699634999999</v>
      </c>
      <c r="Q281">
        <v>46.675223502999998</v>
      </c>
      <c r="R281">
        <v>14.185437237</v>
      </c>
      <c r="S281">
        <v>3.7084762549999999</v>
      </c>
      <c r="T281">
        <v>4.7163370000006921E-2</v>
      </c>
      <c r="U281" t="s">
        <v>76</v>
      </c>
      <c r="V281">
        <v>2363.914251942394</v>
      </c>
      <c r="W281">
        <v>26.00375743932873</v>
      </c>
      <c r="X281">
        <v>1.77</v>
      </c>
      <c r="Y281">
        <v>-2.5</v>
      </c>
      <c r="Z281">
        <v>5.1100000000000003</v>
      </c>
      <c r="AC281">
        <v>748.14</v>
      </c>
      <c r="AF281">
        <v>80.08</v>
      </c>
      <c r="AH281">
        <v>2.5</v>
      </c>
      <c r="AK281" t="s">
        <v>134</v>
      </c>
      <c r="AL281">
        <f t="shared" si="12"/>
        <v>13.271381494460002</v>
      </c>
      <c r="AM281">
        <f t="shared" si="13"/>
        <v>2.7150801439319593E-2</v>
      </c>
      <c r="AN281">
        <f t="shared" si="14"/>
        <v>4.4651619234543673E-2</v>
      </c>
    </row>
    <row r="282" spans="1:40" x14ac:dyDescent="0.2">
      <c r="A282" t="s">
        <v>77</v>
      </c>
      <c r="B282">
        <v>2021</v>
      </c>
      <c r="C282">
        <v>191.93944445695999</v>
      </c>
      <c r="D282">
        <v>84.705670323728853</v>
      </c>
      <c r="E282">
        <v>17.571920971411831</v>
      </c>
      <c r="F282">
        <v>4.5056207619004711</v>
      </c>
      <c r="G282">
        <v>44.830926580909683</v>
      </c>
      <c r="H282">
        <v>12.165176057131269</v>
      </c>
      <c r="I282">
        <v>4.5056207619004711</v>
      </c>
      <c r="J282">
        <v>9.8662039000000004</v>
      </c>
      <c r="K282">
        <v>0.433</v>
      </c>
      <c r="L282">
        <v>8.6999999999999993</v>
      </c>
      <c r="M282">
        <v>0.1544476793147421</v>
      </c>
      <c r="N282">
        <v>17</v>
      </c>
      <c r="O282">
        <v>0</v>
      </c>
      <c r="P282">
        <v>36.595033478487963</v>
      </c>
      <c r="Q282">
        <v>47.210300895266357</v>
      </c>
      <c r="R282">
        <v>6.4131089667117118</v>
      </c>
      <c r="S282">
        <v>8.4669495102368408</v>
      </c>
      <c r="T282">
        <v>1.314607149297117</v>
      </c>
      <c r="U282" t="s">
        <v>77</v>
      </c>
      <c r="V282">
        <v>786.20216361970631</v>
      </c>
      <c r="W282">
        <v>26.513421690780518</v>
      </c>
      <c r="AK282" t="s">
        <v>134</v>
      </c>
      <c r="AL282">
        <f t="shared" si="12"/>
        <v>13.146645866389308</v>
      </c>
      <c r="AM282">
        <f t="shared" si="13"/>
        <v>0.25704225352112686</v>
      </c>
      <c r="AN282">
        <f t="shared" si="14"/>
        <v>9.154929577464789E-2</v>
      </c>
    </row>
    <row r="283" spans="1:40" x14ac:dyDescent="0.2">
      <c r="A283" t="s">
        <v>77</v>
      </c>
      <c r="B283">
        <v>2022</v>
      </c>
      <c r="C283">
        <v>165.5964852990875</v>
      </c>
      <c r="D283">
        <v>91.971225800222086</v>
      </c>
      <c r="E283">
        <v>8.9315888572394151</v>
      </c>
      <c r="F283">
        <v>8.690194563800512</v>
      </c>
      <c r="G283">
        <v>16.414811953845408</v>
      </c>
      <c r="H283">
        <v>12.793897552261861</v>
      </c>
      <c r="I283">
        <v>0.24139429343890309</v>
      </c>
      <c r="J283">
        <v>11.786365</v>
      </c>
      <c r="K283">
        <v>0.441</v>
      </c>
      <c r="L283">
        <v>7.6</v>
      </c>
      <c r="M283">
        <v>0.1510645488340655</v>
      </c>
      <c r="N283">
        <v>17</v>
      </c>
      <c r="O283">
        <v>0</v>
      </c>
      <c r="P283">
        <v>31.733775907529889</v>
      </c>
      <c r="Q283">
        <v>52.647612497768733</v>
      </c>
      <c r="R283">
        <v>7.9373395435157539</v>
      </c>
      <c r="S283">
        <v>6.8812456836427387</v>
      </c>
      <c r="T283">
        <v>0.80002636754289824</v>
      </c>
      <c r="U283" t="s">
        <v>77</v>
      </c>
      <c r="V283">
        <v>813.0019951521565</v>
      </c>
      <c r="W283">
        <v>27.122135591993569</v>
      </c>
      <c r="AK283" t="s">
        <v>134</v>
      </c>
      <c r="AL283">
        <f t="shared" si="12"/>
        <v>13.128676526855713</v>
      </c>
      <c r="AM283">
        <f t="shared" si="13"/>
        <v>0.10058309037900875</v>
      </c>
      <c r="AN283">
        <f t="shared" si="14"/>
        <v>5.3935860058309047E-2</v>
      </c>
    </row>
    <row r="284" spans="1:40" x14ac:dyDescent="0.2">
      <c r="A284" t="s">
        <v>77</v>
      </c>
      <c r="B284">
        <v>2018</v>
      </c>
      <c r="C284">
        <v>194.78600813691841</v>
      </c>
      <c r="D284">
        <v>119.78089415187399</v>
      </c>
      <c r="E284">
        <v>5.6822056049276082</v>
      </c>
      <c r="F284">
        <v>3.4093233629565649</v>
      </c>
      <c r="G284">
        <v>15.6828874696002</v>
      </c>
      <c r="H284">
        <v>9.7733936404754864</v>
      </c>
      <c r="I284">
        <v>0.90915289678841738</v>
      </c>
      <c r="J284">
        <v>7.6587949999999996</v>
      </c>
      <c r="K284">
        <v>0.432</v>
      </c>
      <c r="L284">
        <v>9.1999999999999993</v>
      </c>
      <c r="M284">
        <v>0.17127229488703921</v>
      </c>
      <c r="N284">
        <v>17</v>
      </c>
      <c r="O284">
        <v>0</v>
      </c>
      <c r="P284">
        <v>28.469935713000002</v>
      </c>
      <c r="Q284">
        <v>48.560262205999997</v>
      </c>
      <c r="R284">
        <v>10.71778578</v>
      </c>
      <c r="S284">
        <v>10.879075075999999</v>
      </c>
      <c r="T284">
        <v>1.372941225000005</v>
      </c>
      <c r="U284" t="s">
        <v>77</v>
      </c>
      <c r="V284">
        <v>2670.3790387456338</v>
      </c>
      <c r="W284">
        <v>33.132039054109853</v>
      </c>
      <c r="AK284" t="s">
        <v>134</v>
      </c>
      <c r="AL284">
        <f t="shared" si="12"/>
        <v>12.796315285370001</v>
      </c>
      <c r="AM284">
        <f t="shared" si="13"/>
        <v>8.518086347724621E-2</v>
      </c>
      <c r="AN284">
        <f t="shared" si="14"/>
        <v>2.9171528588098017E-2</v>
      </c>
    </row>
    <row r="285" spans="1:40" x14ac:dyDescent="0.2">
      <c r="A285" t="s">
        <v>77</v>
      </c>
      <c r="B285">
        <v>2020</v>
      </c>
      <c r="C285">
        <v>165.9450023803586</v>
      </c>
      <c r="D285">
        <v>93.854140690530699</v>
      </c>
      <c r="E285">
        <v>8.8413320940355007</v>
      </c>
      <c r="F285">
        <v>5.4408197501756934</v>
      </c>
      <c r="G285">
        <v>14.50885266713518</v>
      </c>
      <c r="H285">
        <v>9.2947337398834762</v>
      </c>
      <c r="I285">
        <v>1.1335041146199361</v>
      </c>
      <c r="J285">
        <v>5.5473226999999996</v>
      </c>
      <c r="K285">
        <v>0.43099999999999999</v>
      </c>
      <c r="L285">
        <v>8.8000000000000007</v>
      </c>
      <c r="M285">
        <v>0.15810979713489079</v>
      </c>
      <c r="N285">
        <v>17</v>
      </c>
      <c r="O285">
        <v>0</v>
      </c>
      <c r="P285">
        <v>31.384057112000001</v>
      </c>
      <c r="Q285">
        <v>49.566605893000002</v>
      </c>
      <c r="R285">
        <v>10.653547838</v>
      </c>
      <c r="S285">
        <v>7.5302747400000003</v>
      </c>
      <c r="T285">
        <v>0.86551441700001419</v>
      </c>
      <c r="U285" t="s">
        <v>77</v>
      </c>
      <c r="V285">
        <v>2435.868873314223</v>
      </c>
      <c r="W285">
        <v>31.53596110582685</v>
      </c>
      <c r="AK285" t="s">
        <v>134</v>
      </c>
      <c r="AL285">
        <f t="shared" si="12"/>
        <v>13.03550289835</v>
      </c>
      <c r="AM285">
        <f t="shared" si="13"/>
        <v>9.4262295081967221E-2</v>
      </c>
      <c r="AN285">
        <f t="shared" si="14"/>
        <v>5.3278688524590175E-2</v>
      </c>
    </row>
    <row r="286" spans="1:40" x14ac:dyDescent="0.2">
      <c r="A286" t="s">
        <v>77</v>
      </c>
      <c r="B286">
        <v>2019</v>
      </c>
      <c r="C286">
        <v>172.03221611261949</v>
      </c>
      <c r="D286">
        <v>102.2154281411851</v>
      </c>
      <c r="E286">
        <v>7.9855803235300833</v>
      </c>
      <c r="F286">
        <v>5.2476670697483403</v>
      </c>
      <c r="G286">
        <v>14.37404458235415</v>
      </c>
      <c r="H286">
        <v>9.3545369504209539</v>
      </c>
      <c r="I286">
        <v>0.22815943781514519</v>
      </c>
      <c r="J286">
        <v>7.9544125000000001</v>
      </c>
      <c r="K286">
        <v>0.442</v>
      </c>
      <c r="L286">
        <v>8.9</v>
      </c>
      <c r="M286">
        <v>0.16393560788082651</v>
      </c>
      <c r="N286">
        <v>13</v>
      </c>
      <c r="O286">
        <v>0</v>
      </c>
      <c r="P286">
        <v>35.312181290041529</v>
      </c>
      <c r="Q286">
        <v>48.619740267882342</v>
      </c>
      <c r="R286">
        <v>7.004873260541232</v>
      </c>
      <c r="S286">
        <v>7.922102529472137</v>
      </c>
      <c r="T286">
        <v>1.1411026520627701</v>
      </c>
      <c r="U286" t="s">
        <v>77</v>
      </c>
      <c r="V286">
        <v>2630.0924431649969</v>
      </c>
      <c r="W286">
        <v>27.49518121157811</v>
      </c>
      <c r="AK286" t="s">
        <v>134</v>
      </c>
      <c r="AL286">
        <f t="shared" si="12"/>
        <v>13.146562820725473</v>
      </c>
      <c r="AM286">
        <f t="shared" si="13"/>
        <v>8.4880636604774545E-2</v>
      </c>
      <c r="AN286">
        <f t="shared" si="14"/>
        <v>4.6419098143236075E-2</v>
      </c>
    </row>
    <row r="287" spans="1:40" x14ac:dyDescent="0.2">
      <c r="A287" t="s">
        <v>77</v>
      </c>
      <c r="B287">
        <v>2017</v>
      </c>
      <c r="C287">
        <v>177.29931492819259</v>
      </c>
      <c r="D287">
        <v>101.28138015795339</v>
      </c>
      <c r="E287">
        <v>8.8763456767644584</v>
      </c>
      <c r="F287">
        <v>6.3727609987026881</v>
      </c>
      <c r="G287">
        <v>10.69713453353666</v>
      </c>
      <c r="H287">
        <v>9.5591414980540321</v>
      </c>
      <c r="I287">
        <v>0.68279582128957372</v>
      </c>
      <c r="J287">
        <v>6.3020954000000007</v>
      </c>
      <c r="K287">
        <v>0.42</v>
      </c>
      <c r="L287">
        <v>10.199999999999999</v>
      </c>
      <c r="M287">
        <v>0.17797111042814251</v>
      </c>
      <c r="N287">
        <v>7</v>
      </c>
      <c r="O287">
        <v>0</v>
      </c>
      <c r="P287">
        <v>28.491106394999999</v>
      </c>
      <c r="Q287">
        <v>50.936010142999997</v>
      </c>
      <c r="R287">
        <v>10.07821186</v>
      </c>
      <c r="S287">
        <v>8.9996193790000003</v>
      </c>
      <c r="T287">
        <v>1.4950522230000161</v>
      </c>
      <c r="U287" t="s">
        <v>77</v>
      </c>
      <c r="V287">
        <v>2537.5694752246031</v>
      </c>
      <c r="W287">
        <v>33.949303360892543</v>
      </c>
      <c r="AK287" t="s">
        <v>134</v>
      </c>
      <c r="AL287">
        <f t="shared" si="12"/>
        <v>12.873718415469998</v>
      </c>
      <c r="AM287">
        <f t="shared" si="13"/>
        <v>6.418485237483959E-2</v>
      </c>
      <c r="AN287">
        <f t="shared" si="14"/>
        <v>5.0064184852374856E-2</v>
      </c>
    </row>
    <row r="288" spans="1:40" x14ac:dyDescent="0.2">
      <c r="A288" t="s">
        <v>77</v>
      </c>
      <c r="B288">
        <v>2016</v>
      </c>
      <c r="C288">
        <v>174.04991103608739</v>
      </c>
      <c r="D288">
        <v>109.265933664857</v>
      </c>
      <c r="E288">
        <v>10.265066836990741</v>
      </c>
      <c r="F288">
        <v>4.7903645239290116</v>
      </c>
      <c r="G288">
        <v>7.2996030840823023</v>
      </c>
      <c r="H288">
        <v>7.5277156804598748</v>
      </c>
      <c r="I288">
        <v>0.68433778913271592</v>
      </c>
      <c r="J288">
        <v>6.1737335</v>
      </c>
      <c r="K288">
        <v>0.42399999999999999</v>
      </c>
      <c r="L288">
        <v>9.8000000000000007</v>
      </c>
      <c r="M288">
        <v>0.18782203609157</v>
      </c>
      <c r="N288">
        <v>11</v>
      </c>
      <c r="O288">
        <v>0</v>
      </c>
      <c r="P288">
        <v>25.161493063000002</v>
      </c>
      <c r="Q288">
        <v>54.310939728999998</v>
      </c>
      <c r="R288">
        <v>8.8352590689999992</v>
      </c>
      <c r="S288">
        <v>11.031037658000001</v>
      </c>
      <c r="T288">
        <v>0.66127048099998831</v>
      </c>
      <c r="U288" t="s">
        <v>77</v>
      </c>
      <c r="AK288" t="s">
        <v>134</v>
      </c>
      <c r="AL288">
        <f t="shared" si="12"/>
        <v>12.82576883027</v>
      </c>
      <c r="AM288">
        <f t="shared" si="13"/>
        <v>4.5871559633027525E-2</v>
      </c>
      <c r="AN288">
        <f t="shared" si="14"/>
        <v>5.8977719528178263E-2</v>
      </c>
    </row>
    <row r="289" spans="1:40" x14ac:dyDescent="0.2">
      <c r="A289" t="s">
        <v>78</v>
      </c>
      <c r="B289">
        <v>2020</v>
      </c>
      <c r="C289">
        <v>132.18143546597409</v>
      </c>
      <c r="D289">
        <v>50.378620182794208</v>
      </c>
      <c r="E289">
        <v>9.4132089644970591</v>
      </c>
      <c r="F289">
        <v>2.2291977448261702</v>
      </c>
      <c r="G289">
        <v>8.2642667094606033</v>
      </c>
      <c r="H289">
        <v>3.1533469499641891</v>
      </c>
      <c r="I289">
        <v>0.1311292791074217</v>
      </c>
      <c r="J289">
        <v>0.50654169999999998</v>
      </c>
      <c r="K289">
        <v>0.38500000000000001</v>
      </c>
      <c r="L289">
        <v>9.4</v>
      </c>
      <c r="M289">
        <v>0.1448853889724277</v>
      </c>
      <c r="N289">
        <v>311</v>
      </c>
      <c r="O289">
        <v>10</v>
      </c>
      <c r="P289">
        <v>33.375528551000002</v>
      </c>
      <c r="Q289">
        <v>46.923672623000002</v>
      </c>
      <c r="R289">
        <v>17.053648329000001</v>
      </c>
      <c r="S289">
        <v>2.4457982519999999</v>
      </c>
      <c r="T289">
        <v>0.20135224499999541</v>
      </c>
      <c r="U289" t="s">
        <v>78</v>
      </c>
      <c r="V289">
        <v>2966.777600547086</v>
      </c>
      <c r="W289">
        <v>36.521312580790003</v>
      </c>
      <c r="AK289" t="s">
        <v>135</v>
      </c>
      <c r="AL289">
        <f t="shared" si="12"/>
        <v>13.210483972310001</v>
      </c>
      <c r="AM289">
        <f t="shared" si="13"/>
        <v>6.3514183810851055E-2</v>
      </c>
      <c r="AN289">
        <f t="shared" si="14"/>
        <v>7.121430427285827E-2</v>
      </c>
    </row>
    <row r="290" spans="1:40" x14ac:dyDescent="0.2">
      <c r="A290" t="s">
        <v>78</v>
      </c>
      <c r="B290">
        <v>2021</v>
      </c>
      <c r="C290">
        <v>127.5911743299024</v>
      </c>
      <c r="D290">
        <v>50.517038600344023</v>
      </c>
      <c r="E290">
        <v>7.6875807479304603</v>
      </c>
      <c r="F290">
        <v>2.2036472250414918</v>
      </c>
      <c r="G290">
        <v>8.1503466651891738</v>
      </c>
      <c r="H290">
        <v>3.758792552427916</v>
      </c>
      <c r="I290">
        <v>0.13221883350248939</v>
      </c>
      <c r="J290">
        <v>0.61766409999999994</v>
      </c>
      <c r="K290">
        <v>0.38900000000000001</v>
      </c>
      <c r="L290">
        <v>8.3000000000000007</v>
      </c>
      <c r="M290">
        <v>0.1387958956843626</v>
      </c>
      <c r="N290">
        <v>306</v>
      </c>
      <c r="O290">
        <v>10</v>
      </c>
      <c r="P290">
        <v>33.5945465461037</v>
      </c>
      <c r="Q290">
        <v>46.23250846231403</v>
      </c>
      <c r="R290">
        <v>17.308247089104199</v>
      </c>
      <c r="S290">
        <v>2.805386437220418</v>
      </c>
      <c r="T290">
        <v>5.9311465257650298E-2</v>
      </c>
      <c r="U290" t="s">
        <v>78</v>
      </c>
      <c r="V290">
        <v>1040.2678633504411</v>
      </c>
      <c r="W290">
        <v>29.617226045031899</v>
      </c>
      <c r="AK290" t="s">
        <v>135</v>
      </c>
      <c r="AL290">
        <f t="shared" si="12"/>
        <v>13.208172499777989</v>
      </c>
      <c r="AM290">
        <f t="shared" si="13"/>
        <v>6.4914877868245735E-2</v>
      </c>
      <c r="AN290">
        <f t="shared" si="14"/>
        <v>6.0251665433012559E-2</v>
      </c>
    </row>
    <row r="291" spans="1:40" x14ac:dyDescent="0.2">
      <c r="A291" t="s">
        <v>78</v>
      </c>
      <c r="B291">
        <v>2022</v>
      </c>
      <c r="C291">
        <v>126.7450605001483</v>
      </c>
      <c r="D291">
        <v>49.055652159368627</v>
      </c>
      <c r="E291">
        <v>9.9584485663500928</v>
      </c>
      <c r="F291">
        <v>2.2966189523171732</v>
      </c>
      <c r="G291">
        <v>8.1443125872087965</v>
      </c>
      <c r="H291">
        <v>3.5575077888834641</v>
      </c>
      <c r="I291">
        <v>0.14474489195276299</v>
      </c>
      <c r="J291">
        <v>0.73912469999999997</v>
      </c>
      <c r="K291">
        <v>0.39300000000000002</v>
      </c>
      <c r="L291">
        <v>7.5</v>
      </c>
      <c r="M291">
        <v>0.13450274339818541</v>
      </c>
      <c r="N291">
        <v>308</v>
      </c>
      <c r="O291">
        <v>10</v>
      </c>
      <c r="P291">
        <v>31.620450151248349</v>
      </c>
      <c r="Q291">
        <v>47.444040229086681</v>
      </c>
      <c r="R291">
        <v>17.987637214949281</v>
      </c>
      <c r="S291">
        <v>2.8838155430724539</v>
      </c>
      <c r="T291">
        <v>6.4056861643237539E-2</v>
      </c>
      <c r="U291" t="s">
        <v>78</v>
      </c>
      <c r="V291">
        <v>1081.0506049637861</v>
      </c>
      <c r="W291">
        <v>34.045139309039158</v>
      </c>
      <c r="AK291" t="s">
        <v>135</v>
      </c>
      <c r="AL291">
        <f t="shared" si="12"/>
        <v>13.151538519455194</v>
      </c>
      <c r="AM291">
        <f t="shared" si="13"/>
        <v>6.5399451832301281E-2</v>
      </c>
      <c r="AN291">
        <f t="shared" si="14"/>
        <v>7.857070348188E-2</v>
      </c>
    </row>
    <row r="292" spans="1:40" x14ac:dyDescent="0.2">
      <c r="A292" t="s">
        <v>78</v>
      </c>
      <c r="B292">
        <v>2019</v>
      </c>
      <c r="C292">
        <v>133.8539542583998</v>
      </c>
      <c r="D292">
        <v>52.646920027636213</v>
      </c>
      <c r="E292">
        <v>7.932500949567026</v>
      </c>
      <c r="F292">
        <v>2.2615404667981291</v>
      </c>
      <c r="G292">
        <v>7.8578421171005131</v>
      </c>
      <c r="H292">
        <v>2.9583562364855851</v>
      </c>
      <c r="I292">
        <v>6.8437263094303702E-2</v>
      </c>
      <c r="J292">
        <v>0.50828320000000005</v>
      </c>
      <c r="K292">
        <v>0.39500000000000002</v>
      </c>
      <c r="L292">
        <v>9.5</v>
      </c>
      <c r="M292">
        <v>0.1520404352451899</v>
      </c>
      <c r="N292">
        <v>253</v>
      </c>
      <c r="O292">
        <v>10</v>
      </c>
      <c r="P292">
        <v>32.98834026620527</v>
      </c>
      <c r="Q292">
        <v>45.922526305665599</v>
      </c>
      <c r="R292">
        <v>18.111818396700059</v>
      </c>
      <c r="S292">
        <v>2.744843611920015</v>
      </c>
      <c r="T292">
        <v>0.23247141950905359</v>
      </c>
      <c r="U292" t="s">
        <v>78</v>
      </c>
      <c r="V292">
        <v>2567.891537910506</v>
      </c>
      <c r="W292">
        <v>30.899631572364289</v>
      </c>
      <c r="AK292" t="s">
        <v>135</v>
      </c>
      <c r="AL292">
        <f t="shared" si="12"/>
        <v>13.166814265157486</v>
      </c>
      <c r="AM292">
        <f t="shared" si="13"/>
        <v>5.9215877663901108E-2</v>
      </c>
      <c r="AN292">
        <f t="shared" si="14"/>
        <v>5.9262357944641998E-2</v>
      </c>
    </row>
    <row r="293" spans="1:40" x14ac:dyDescent="0.2">
      <c r="A293" t="s">
        <v>78</v>
      </c>
      <c r="B293">
        <v>2018</v>
      </c>
      <c r="C293">
        <v>128.72084165957699</v>
      </c>
      <c r="D293">
        <v>51.428981263478633</v>
      </c>
      <c r="E293">
        <v>8.424138852066557</v>
      </c>
      <c r="F293">
        <v>2.4174959935104758</v>
      </c>
      <c r="G293">
        <v>6.631111133094592</v>
      </c>
      <c r="H293">
        <v>2.6988158597629739</v>
      </c>
      <c r="I293">
        <v>9.2742813050274001E-2</v>
      </c>
      <c r="J293">
        <v>0.46930929999999998</v>
      </c>
      <c r="K293">
        <v>0.39400000000000002</v>
      </c>
      <c r="L293">
        <v>9.5</v>
      </c>
      <c r="M293">
        <v>0.16203641878521241</v>
      </c>
      <c r="N293">
        <v>316</v>
      </c>
      <c r="O293">
        <v>11</v>
      </c>
      <c r="P293">
        <v>31.192589940000001</v>
      </c>
      <c r="Q293">
        <v>47.948356195999999</v>
      </c>
      <c r="R293">
        <v>17.963358495000001</v>
      </c>
      <c r="S293">
        <v>2.7139495889999998</v>
      </c>
      <c r="T293">
        <v>0.18174578000001421</v>
      </c>
      <c r="U293" t="s">
        <v>78</v>
      </c>
      <c r="V293">
        <v>2620.7385635494529</v>
      </c>
      <c r="W293">
        <v>27.22750945375034</v>
      </c>
      <c r="AK293" t="s">
        <v>135</v>
      </c>
      <c r="AL293">
        <f t="shared" si="12"/>
        <v>13.13966952514</v>
      </c>
      <c r="AM293">
        <f t="shared" si="13"/>
        <v>5.2235938325567985E-2</v>
      </c>
      <c r="AN293">
        <f t="shared" si="14"/>
        <v>6.5445026178010471E-2</v>
      </c>
    </row>
    <row r="294" spans="1:40" x14ac:dyDescent="0.2">
      <c r="A294" t="s">
        <v>78</v>
      </c>
      <c r="B294">
        <v>2016</v>
      </c>
      <c r="C294">
        <v>123.4193395816968</v>
      </c>
      <c r="D294">
        <v>56.305204451046492</v>
      </c>
      <c r="E294">
        <v>6.6589638210612812</v>
      </c>
      <c r="F294">
        <v>2.2574838195767399</v>
      </c>
      <c r="G294">
        <v>5.2756415348804264</v>
      </c>
      <c r="H294">
        <v>2.2820216871808352</v>
      </c>
      <c r="I294">
        <v>0.1594961394266175</v>
      </c>
      <c r="J294">
        <v>0.39636159999999998</v>
      </c>
      <c r="K294">
        <v>0.40200000000000002</v>
      </c>
      <c r="L294">
        <v>9.8000000000000007</v>
      </c>
      <c r="M294">
        <v>0.18121533166776349</v>
      </c>
      <c r="N294">
        <v>325</v>
      </c>
      <c r="O294">
        <v>13</v>
      </c>
      <c r="P294">
        <v>30.276327205000001</v>
      </c>
      <c r="Q294">
        <v>45.909813670000013</v>
      </c>
      <c r="R294">
        <v>20.630517451999999</v>
      </c>
      <c r="S294">
        <v>3.0562193629999999</v>
      </c>
      <c r="T294">
        <v>0.12712231000000429</v>
      </c>
      <c r="U294" t="s">
        <v>78</v>
      </c>
      <c r="AK294" t="s">
        <v>135</v>
      </c>
      <c r="AL294">
        <f t="shared" si="12"/>
        <v>13.059226412640003</v>
      </c>
      <c r="AM294">
        <f t="shared" si="13"/>
        <v>4.4037974054376483E-2</v>
      </c>
      <c r="AN294">
        <f t="shared" si="14"/>
        <v>5.3953973855559438E-2</v>
      </c>
    </row>
    <row r="295" spans="1:40" x14ac:dyDescent="0.2">
      <c r="A295" t="s">
        <v>78</v>
      </c>
      <c r="B295">
        <v>2017</v>
      </c>
      <c r="C295">
        <v>129.71281637262899</v>
      </c>
      <c r="D295">
        <v>50.497072863273331</v>
      </c>
      <c r="E295">
        <v>7.8670744613209358</v>
      </c>
      <c r="F295">
        <v>2.047594722809559</v>
      </c>
      <c r="G295">
        <v>4.7325610360275059</v>
      </c>
      <c r="H295">
        <v>2.2384982909512021</v>
      </c>
      <c r="I295">
        <v>4.3107257322306497E-2</v>
      </c>
      <c r="J295">
        <v>0.43096699999999999</v>
      </c>
      <c r="K295">
        <v>0.39700000000000002</v>
      </c>
      <c r="L295">
        <v>10</v>
      </c>
      <c r="M295">
        <v>0.17119776986216509</v>
      </c>
      <c r="N295">
        <v>323</v>
      </c>
      <c r="O295">
        <v>11</v>
      </c>
      <c r="P295">
        <v>31.422692759</v>
      </c>
      <c r="Q295">
        <v>47.136229266000001</v>
      </c>
      <c r="R295">
        <v>18.267690082000001</v>
      </c>
      <c r="S295">
        <v>2.9946557089999999</v>
      </c>
      <c r="T295">
        <v>0.1787321839999976</v>
      </c>
      <c r="U295" t="s">
        <v>78</v>
      </c>
      <c r="V295">
        <v>2700.509267628021</v>
      </c>
      <c r="W295">
        <v>29.124656807374478</v>
      </c>
      <c r="AK295" t="s">
        <v>135</v>
      </c>
      <c r="AL295">
        <f t="shared" ref="AL295:AL358" si="15">(15*P295+13*Q295+11*R295+9*S295+4*T295)/100</f>
        <v>13.127227928620002</v>
      </c>
      <c r="AM295">
        <f t="shared" ref="AM295:AM358" si="16">(G295+I295)/C295</f>
        <v>3.6817243098250525E-2</v>
      </c>
      <c r="AN295">
        <f t="shared" ref="AN295:AN358" si="17">E295/C295</f>
        <v>6.0649939468749255E-2</v>
      </c>
    </row>
    <row r="296" spans="1:40" x14ac:dyDescent="0.2">
      <c r="A296" t="s">
        <v>79</v>
      </c>
      <c r="B296">
        <v>2021</v>
      </c>
      <c r="C296">
        <v>179.43502443388499</v>
      </c>
      <c r="D296">
        <v>69.191360785935544</v>
      </c>
      <c r="E296">
        <v>9.1321117797489944</v>
      </c>
      <c r="F296">
        <v>3.3591316897782808</v>
      </c>
      <c r="G296">
        <v>9.1996320147194108</v>
      </c>
      <c r="H296">
        <v>3.0215305149261922</v>
      </c>
      <c r="I296">
        <v>0.55704193850594597</v>
      </c>
      <c r="J296">
        <v>0.59094290000000005</v>
      </c>
      <c r="K296">
        <v>0.34599999999999997</v>
      </c>
      <c r="L296">
        <v>12.9</v>
      </c>
      <c r="M296">
        <v>0.13258971674123229</v>
      </c>
      <c r="N296">
        <v>77</v>
      </c>
      <c r="O296">
        <v>1</v>
      </c>
      <c r="P296">
        <v>23.65725554395177</v>
      </c>
      <c r="Q296">
        <v>54.284888178391441</v>
      </c>
      <c r="R296">
        <v>13.800553578590559</v>
      </c>
      <c r="S296">
        <v>7.6448649287014687</v>
      </c>
      <c r="T296">
        <v>0.61243777036474967</v>
      </c>
      <c r="U296" t="s">
        <v>79</v>
      </c>
      <c r="V296">
        <v>972.237350922784</v>
      </c>
      <c r="W296">
        <v>32.416177200715452</v>
      </c>
      <c r="AK296" t="s">
        <v>134</v>
      </c>
      <c r="AL296">
        <f t="shared" si="15"/>
        <v>12.836220042826335</v>
      </c>
      <c r="AM296">
        <f t="shared" si="16"/>
        <v>5.4374412041392296E-2</v>
      </c>
      <c r="AN296">
        <f t="shared" si="17"/>
        <v>5.089369708372532E-2</v>
      </c>
    </row>
    <row r="297" spans="1:40" x14ac:dyDescent="0.2">
      <c r="A297" t="s">
        <v>79</v>
      </c>
      <c r="B297">
        <v>2019</v>
      </c>
      <c r="C297">
        <v>181.72701467276141</v>
      </c>
      <c r="D297">
        <v>69.615656276237061</v>
      </c>
      <c r="E297">
        <v>10.62809014219652</v>
      </c>
      <c r="F297">
        <v>2.5987179658035369</v>
      </c>
      <c r="G297">
        <v>8.0626890733904606</v>
      </c>
      <c r="H297">
        <v>2.4154750323173899</v>
      </c>
      <c r="I297">
        <v>0.26653517597984988</v>
      </c>
      <c r="J297">
        <v>0.46023180000000002</v>
      </c>
      <c r="K297">
        <v>0.34399999999999997</v>
      </c>
      <c r="L297">
        <v>13.8</v>
      </c>
      <c r="M297">
        <v>0.1406223306076918</v>
      </c>
      <c r="N297">
        <v>61</v>
      </c>
      <c r="O297">
        <v>1</v>
      </c>
      <c r="P297">
        <v>24.145118258709719</v>
      </c>
      <c r="Q297">
        <v>50.983352316920367</v>
      </c>
      <c r="R297">
        <v>17.790723200960979</v>
      </c>
      <c r="S297">
        <v>6.7223618743209954</v>
      </c>
      <c r="T297">
        <v>0.35844434908796069</v>
      </c>
      <c r="U297" t="s">
        <v>79</v>
      </c>
      <c r="V297">
        <v>2675.1839854170562</v>
      </c>
      <c r="W297">
        <v>33.731182993042403</v>
      </c>
      <c r="AK297" t="s">
        <v>134</v>
      </c>
      <c r="AL297">
        <f t="shared" si="15"/>
        <v>12.825933434764222</v>
      </c>
      <c r="AM297">
        <f t="shared" si="16"/>
        <v>4.5833715280960682E-2</v>
      </c>
      <c r="AN297">
        <f t="shared" si="17"/>
        <v>5.8483820698505849E-2</v>
      </c>
    </row>
    <row r="298" spans="1:40" x14ac:dyDescent="0.2">
      <c r="A298" t="s">
        <v>79</v>
      </c>
      <c r="B298">
        <v>2018</v>
      </c>
      <c r="C298">
        <v>179.51246215843659</v>
      </c>
      <c r="D298">
        <v>80.085609323369766</v>
      </c>
      <c r="E298">
        <v>8.0629736378686054</v>
      </c>
      <c r="F298">
        <v>3.2977397291896131</v>
      </c>
      <c r="G298">
        <v>7.7826657608874878</v>
      </c>
      <c r="H298">
        <v>2.2589517144948852</v>
      </c>
      <c r="I298">
        <v>0.16488698645948061</v>
      </c>
      <c r="J298">
        <v>0.43183820000000001</v>
      </c>
      <c r="K298">
        <v>0.35</v>
      </c>
      <c r="L298">
        <v>13.6</v>
      </c>
      <c r="M298">
        <v>0.14920460324586149</v>
      </c>
      <c r="N298">
        <v>83</v>
      </c>
      <c r="O298">
        <v>1</v>
      </c>
      <c r="P298">
        <v>24.904854283999999</v>
      </c>
      <c r="Q298">
        <v>51.289237575000001</v>
      </c>
      <c r="R298">
        <v>16.870292272</v>
      </c>
      <c r="S298">
        <v>6.6666573480000002</v>
      </c>
      <c r="T298">
        <v>0.26895852100000178</v>
      </c>
      <c r="U298" t="s">
        <v>79</v>
      </c>
      <c r="V298">
        <v>2584.2555517459809</v>
      </c>
      <c r="W298">
        <v>34.141912307788012</v>
      </c>
      <c r="AK298" t="s">
        <v>134</v>
      </c>
      <c r="AL298">
        <f t="shared" si="15"/>
        <v>12.869818679430001</v>
      </c>
      <c r="AM298">
        <f t="shared" si="16"/>
        <v>4.4272986130247084E-2</v>
      </c>
      <c r="AN298">
        <f t="shared" si="17"/>
        <v>4.4915954808487195E-2</v>
      </c>
    </row>
    <row r="299" spans="1:40" x14ac:dyDescent="0.2">
      <c r="A299" t="s">
        <v>79</v>
      </c>
      <c r="B299">
        <v>2017</v>
      </c>
      <c r="C299">
        <v>181.26695857454919</v>
      </c>
      <c r="D299">
        <v>80.062430410662799</v>
      </c>
      <c r="E299">
        <v>6.6609852380812447</v>
      </c>
      <c r="F299">
        <v>3.4284482843065232</v>
      </c>
      <c r="G299">
        <v>7.3956527275755004</v>
      </c>
      <c r="H299">
        <v>2.5305213527024328</v>
      </c>
      <c r="I299">
        <v>4.8977832632950302E-2</v>
      </c>
      <c r="J299">
        <v>0.4221376</v>
      </c>
      <c r="K299">
        <v>0.36199999999999999</v>
      </c>
      <c r="L299">
        <v>13.9</v>
      </c>
      <c r="M299">
        <v>0.158369371702858</v>
      </c>
      <c r="N299">
        <v>87</v>
      </c>
      <c r="O299">
        <v>1</v>
      </c>
      <c r="P299">
        <v>25.386974568999999</v>
      </c>
      <c r="Q299">
        <v>50.804103308000002</v>
      </c>
      <c r="R299">
        <v>17.416177878999999</v>
      </c>
      <c r="S299">
        <v>5.8926820959999997</v>
      </c>
      <c r="T299">
        <v>0.50006214799999782</v>
      </c>
      <c r="U299" t="s">
        <v>79</v>
      </c>
      <c r="V299">
        <v>2647.239240372237</v>
      </c>
      <c r="W299">
        <v>32.39217700026137</v>
      </c>
      <c r="AK299" t="s">
        <v>134</v>
      </c>
      <c r="AL299">
        <f t="shared" si="15"/>
        <v>12.878703056639999</v>
      </c>
      <c r="AM299">
        <f t="shared" si="16"/>
        <v>4.1069981086192919E-2</v>
      </c>
      <c r="AN299">
        <f t="shared" si="17"/>
        <v>3.6746825182383133E-2</v>
      </c>
    </row>
    <row r="300" spans="1:40" x14ac:dyDescent="0.2">
      <c r="A300" t="s">
        <v>79</v>
      </c>
      <c r="B300">
        <v>2022</v>
      </c>
      <c r="C300">
        <v>182.52065930967129</v>
      </c>
      <c r="D300">
        <v>65.477029736338025</v>
      </c>
      <c r="E300">
        <v>10.52309406476861</v>
      </c>
      <c r="F300">
        <v>3.628060208604865</v>
      </c>
      <c r="G300">
        <v>7.118563632049355</v>
      </c>
      <c r="H300">
        <v>3.301362843848977</v>
      </c>
      <c r="I300">
        <v>0.32669736475588829</v>
      </c>
      <c r="J300">
        <v>0.65767359999999997</v>
      </c>
      <c r="K300">
        <v>0.34399999999999997</v>
      </c>
      <c r="L300">
        <v>11.6</v>
      </c>
      <c r="M300">
        <v>0.13230039650743319</v>
      </c>
      <c r="N300">
        <v>75</v>
      </c>
      <c r="O300">
        <v>1</v>
      </c>
      <c r="P300">
        <v>23.488468136059801</v>
      </c>
      <c r="Q300">
        <v>53.219894021068143</v>
      </c>
      <c r="R300">
        <v>16.027788176711589</v>
      </c>
      <c r="S300">
        <v>6.8763119938047694</v>
      </c>
      <c r="T300">
        <v>0.38753767235570541</v>
      </c>
      <c r="U300" t="s">
        <v>79</v>
      </c>
      <c r="V300">
        <v>963.12991592973776</v>
      </c>
      <c r="W300">
        <v>34.893534648811041</v>
      </c>
      <c r="AK300" t="s">
        <v>134</v>
      </c>
      <c r="AL300">
        <f t="shared" si="15"/>
        <v>12.839282728922763</v>
      </c>
      <c r="AM300">
        <f t="shared" si="16"/>
        <v>4.0791333019312287E-2</v>
      </c>
      <c r="AN300">
        <f t="shared" si="17"/>
        <v>5.7654262835609968E-2</v>
      </c>
    </row>
    <row r="301" spans="1:40" x14ac:dyDescent="0.2">
      <c r="A301" t="s">
        <v>79</v>
      </c>
      <c r="B301">
        <v>2016</v>
      </c>
      <c r="C301">
        <v>194.67525970777601</v>
      </c>
      <c r="D301">
        <v>88.372108131988071</v>
      </c>
      <c r="E301">
        <v>8.770619075771652</v>
      </c>
      <c r="F301">
        <v>4.2878582148216964</v>
      </c>
      <c r="G301">
        <v>6.8378345016664177</v>
      </c>
      <c r="H301">
        <v>2.485008738135301</v>
      </c>
      <c r="I301">
        <v>0.2273864204829687</v>
      </c>
      <c r="J301">
        <v>0.41362599999999999</v>
      </c>
      <c r="K301">
        <v>0.372</v>
      </c>
      <c r="L301">
        <v>14.8</v>
      </c>
      <c r="M301">
        <v>0.1665830079334554</v>
      </c>
      <c r="N301">
        <v>81</v>
      </c>
      <c r="O301">
        <v>1</v>
      </c>
      <c r="P301">
        <v>25.128686635000001</v>
      </c>
      <c r="Q301">
        <v>50.336258958000002</v>
      </c>
      <c r="R301">
        <v>17.502925012999999</v>
      </c>
      <c r="S301">
        <v>6.7136455870000002</v>
      </c>
      <c r="T301">
        <v>0.31848380699999268</v>
      </c>
      <c r="U301" t="s">
        <v>79</v>
      </c>
      <c r="AK301" t="s">
        <v>134</v>
      </c>
      <c r="AL301">
        <f t="shared" si="15"/>
        <v>12.855305866329999</v>
      </c>
      <c r="AM301">
        <f t="shared" si="16"/>
        <v>3.629234106457533E-2</v>
      </c>
      <c r="AN301">
        <f t="shared" si="17"/>
        <v>4.5052561321541791E-2</v>
      </c>
    </row>
    <row r="302" spans="1:40" x14ac:dyDescent="0.2">
      <c r="A302" t="s">
        <v>79</v>
      </c>
      <c r="B302">
        <v>2020</v>
      </c>
      <c r="C302">
        <v>189.73760620142559</v>
      </c>
      <c r="D302">
        <v>69.571573222823488</v>
      </c>
      <c r="E302">
        <v>14.283127803818219</v>
      </c>
      <c r="F302">
        <v>3.2019687917010331</v>
      </c>
      <c r="G302">
        <v>6.202766769263782</v>
      </c>
      <c r="H302">
        <v>2.51463517672856</v>
      </c>
      <c r="I302">
        <v>0.26822775218437972</v>
      </c>
      <c r="J302">
        <v>0.47360010000000002</v>
      </c>
      <c r="K302">
        <v>0.33600000000000002</v>
      </c>
      <c r="L302">
        <v>13.6</v>
      </c>
      <c r="M302">
        <v>0.1360051819851793</v>
      </c>
      <c r="N302">
        <v>79</v>
      </c>
      <c r="O302">
        <v>1</v>
      </c>
      <c r="P302">
        <v>26.562640956999999</v>
      </c>
      <c r="Q302">
        <v>51.885292274999998</v>
      </c>
      <c r="R302">
        <v>15.087435028</v>
      </c>
      <c r="S302">
        <v>6.2110737370000004</v>
      </c>
      <c r="T302">
        <v>0.25355800299999492</v>
      </c>
      <c r="U302" t="s">
        <v>79</v>
      </c>
      <c r="V302">
        <v>2624.1260861798901</v>
      </c>
      <c r="W302">
        <v>32.228532590184628</v>
      </c>
      <c r="AK302" t="s">
        <v>134</v>
      </c>
      <c r="AL302">
        <f t="shared" si="15"/>
        <v>12.958240948830003</v>
      </c>
      <c r="AM302">
        <f t="shared" si="16"/>
        <v>3.4104965541615136E-2</v>
      </c>
      <c r="AN302">
        <f t="shared" si="17"/>
        <v>7.5278317723979499E-2</v>
      </c>
    </row>
    <row r="303" spans="1:40" x14ac:dyDescent="0.2">
      <c r="A303" t="s">
        <v>80</v>
      </c>
      <c r="B303">
        <v>2022</v>
      </c>
      <c r="C303">
        <v>167.34274843323951</v>
      </c>
      <c r="D303">
        <v>50.584595058716879</v>
      </c>
      <c r="E303">
        <v>7.2672236417476803</v>
      </c>
      <c r="F303">
        <v>3.0062641823461882</v>
      </c>
      <c r="G303">
        <v>8.0143213993105249</v>
      </c>
      <c r="H303">
        <v>2.8740028568446312</v>
      </c>
      <c r="I303">
        <v>5.3619456284414703E-2</v>
      </c>
      <c r="J303">
        <v>0.69365600000000005</v>
      </c>
      <c r="K303">
        <v>0.38300000000000001</v>
      </c>
      <c r="L303">
        <v>10.199999999999999</v>
      </c>
      <c r="M303">
        <v>0.14600542199941949</v>
      </c>
      <c r="N303">
        <v>143</v>
      </c>
      <c r="O303">
        <v>7</v>
      </c>
      <c r="P303">
        <v>31.272101498324751</v>
      </c>
      <c r="Q303">
        <v>40.748261143525852</v>
      </c>
      <c r="R303">
        <v>21.327970405269241</v>
      </c>
      <c r="S303">
        <v>6.2072213217940853</v>
      </c>
      <c r="T303">
        <v>0.44444563108606872</v>
      </c>
      <c r="U303" t="s">
        <v>80</v>
      </c>
      <c r="V303">
        <v>924.92181998358308</v>
      </c>
      <c r="W303">
        <v>32.919408270547962</v>
      </c>
      <c r="AK303" t="s">
        <v>132</v>
      </c>
      <c r="AL303">
        <f t="shared" si="15"/>
        <v>12.910593662191602</v>
      </c>
      <c r="AM303">
        <f t="shared" si="16"/>
        <v>4.8212073311402558E-2</v>
      </c>
      <c r="AN303">
        <f t="shared" si="17"/>
        <v>4.3427179903447688E-2</v>
      </c>
    </row>
    <row r="304" spans="1:40" x14ac:dyDescent="0.2">
      <c r="A304" t="s">
        <v>80</v>
      </c>
      <c r="B304">
        <v>2021</v>
      </c>
      <c r="C304">
        <v>166.78296927744489</v>
      </c>
      <c r="D304">
        <v>50.702912877857848</v>
      </c>
      <c r="E304">
        <v>5.4346343431558779</v>
      </c>
      <c r="F304">
        <v>2.83218394765521</v>
      </c>
      <c r="G304">
        <v>7.9652930036082523</v>
      </c>
      <c r="H304">
        <v>3.1480675818677049</v>
      </c>
      <c r="I304">
        <v>6.46125615434648E-2</v>
      </c>
      <c r="J304">
        <v>0.58184250000000004</v>
      </c>
      <c r="K304">
        <v>0.38100000000000001</v>
      </c>
      <c r="L304">
        <v>12.9</v>
      </c>
      <c r="M304">
        <v>0.14998820244111299</v>
      </c>
      <c r="N304">
        <v>213</v>
      </c>
      <c r="O304">
        <v>7</v>
      </c>
      <c r="P304">
        <v>33.056511526294791</v>
      </c>
      <c r="Q304">
        <v>40.115696765178207</v>
      </c>
      <c r="R304">
        <v>20.078573596702132</v>
      </c>
      <c r="S304">
        <v>6.4355304430473854</v>
      </c>
      <c r="T304">
        <v>0.3136876687774901</v>
      </c>
      <c r="U304" t="s">
        <v>80</v>
      </c>
      <c r="V304">
        <v>877.26006504831969</v>
      </c>
      <c r="W304">
        <v>34.571473080882782</v>
      </c>
      <c r="AK304" t="s">
        <v>132</v>
      </c>
      <c r="AL304">
        <f t="shared" si="15"/>
        <v>12.973905650679985</v>
      </c>
      <c r="AM304">
        <f t="shared" si="16"/>
        <v>4.8145836472031509E-2</v>
      </c>
      <c r="AN304">
        <f t="shared" si="17"/>
        <v>3.2585067688268084E-2</v>
      </c>
    </row>
    <row r="305" spans="1:40" x14ac:dyDescent="0.2">
      <c r="A305" t="s">
        <v>80</v>
      </c>
      <c r="B305">
        <v>2020</v>
      </c>
      <c r="C305">
        <v>193.02973014505909</v>
      </c>
      <c r="D305">
        <v>49.435881308140672</v>
      </c>
      <c r="E305">
        <v>5.5536296936926641</v>
      </c>
      <c r="F305">
        <v>2.651733096988389</v>
      </c>
      <c r="G305">
        <v>7.948051762401855</v>
      </c>
      <c r="H305">
        <v>2.3300943116393928</v>
      </c>
      <c r="I305">
        <v>5.7180228506488101E-2</v>
      </c>
      <c r="J305">
        <v>0.48395159999999998</v>
      </c>
      <c r="K305">
        <v>0.371</v>
      </c>
      <c r="L305">
        <v>13.8</v>
      </c>
      <c r="M305">
        <v>0.15628387085762069</v>
      </c>
      <c r="N305">
        <v>219</v>
      </c>
      <c r="O305">
        <v>7</v>
      </c>
      <c r="P305">
        <v>31.522044008000002</v>
      </c>
      <c r="Q305">
        <v>39.123779892000002</v>
      </c>
      <c r="R305">
        <v>23.596073855</v>
      </c>
      <c r="S305">
        <v>5.4052329139999999</v>
      </c>
      <c r="T305">
        <v>0.35286933099999368</v>
      </c>
      <c r="U305" t="s">
        <v>80</v>
      </c>
      <c r="V305">
        <v>2514.7592112907801</v>
      </c>
      <c r="W305">
        <v>33.059003531252849</v>
      </c>
      <c r="AK305" t="s">
        <v>132</v>
      </c>
      <c r="AL305">
        <f t="shared" si="15"/>
        <v>12.91055184671</v>
      </c>
      <c r="AM305">
        <f t="shared" si="16"/>
        <v>4.147149760242904E-2</v>
      </c>
      <c r="AN305">
        <f t="shared" si="17"/>
        <v>2.8770851461685155E-2</v>
      </c>
    </row>
    <row r="306" spans="1:40" x14ac:dyDescent="0.2">
      <c r="A306" t="s">
        <v>80</v>
      </c>
      <c r="B306">
        <v>2018</v>
      </c>
      <c r="C306">
        <v>171.04547431574821</v>
      </c>
      <c r="D306">
        <v>62.9040869548692</v>
      </c>
      <c r="E306">
        <v>7.2252029421456667</v>
      </c>
      <c r="F306">
        <v>2.9331096807320871</v>
      </c>
      <c r="G306">
        <v>7.6232166029785056</v>
      </c>
      <c r="H306">
        <v>2.6426672795838</v>
      </c>
      <c r="I306">
        <v>7.1714173123033895E-2</v>
      </c>
      <c r="J306">
        <v>0.46440880000000001</v>
      </c>
      <c r="K306">
        <v>0.376</v>
      </c>
      <c r="L306">
        <v>14.1</v>
      </c>
      <c r="M306">
        <v>0.1731479672438789</v>
      </c>
      <c r="N306">
        <v>216</v>
      </c>
      <c r="O306">
        <v>7</v>
      </c>
      <c r="P306">
        <v>33.953482682000001</v>
      </c>
      <c r="Q306">
        <v>39.565897477</v>
      </c>
      <c r="R306">
        <v>20.475857224999999</v>
      </c>
      <c r="S306">
        <v>5.7297882390000003</v>
      </c>
      <c r="T306">
        <v>0.27497437699999239</v>
      </c>
      <c r="U306" t="s">
        <v>80</v>
      </c>
      <c r="V306">
        <v>2994.2214287956322</v>
      </c>
      <c r="W306">
        <v>35.156297136627238</v>
      </c>
      <c r="AK306" t="s">
        <v>132</v>
      </c>
      <c r="AL306">
        <f t="shared" si="15"/>
        <v>13.01561328565</v>
      </c>
      <c r="AM306">
        <f t="shared" si="16"/>
        <v>4.4987631545847132E-2</v>
      </c>
      <c r="AN306">
        <f t="shared" si="17"/>
        <v>4.224141545427864E-2</v>
      </c>
    </row>
    <row r="307" spans="1:40" x14ac:dyDescent="0.2">
      <c r="A307" t="s">
        <v>80</v>
      </c>
      <c r="B307">
        <v>2016</v>
      </c>
      <c r="C307">
        <v>163.63910844724771</v>
      </c>
      <c r="D307">
        <v>71.217639905627223</v>
      </c>
      <c r="E307">
        <v>8.011622463966706</v>
      </c>
      <c r="F307">
        <v>4.000380850738007</v>
      </c>
      <c r="G307">
        <v>7.5482299310305381</v>
      </c>
      <c r="H307">
        <v>2.396608256279241</v>
      </c>
      <c r="I307">
        <v>0.224455758140956</v>
      </c>
      <c r="J307">
        <v>0.38669710000000002</v>
      </c>
      <c r="K307">
        <v>0.38200000000000001</v>
      </c>
      <c r="L307">
        <v>16.100000000000001</v>
      </c>
      <c r="M307">
        <v>0.19197839417702711</v>
      </c>
      <c r="N307">
        <v>204</v>
      </c>
      <c r="O307">
        <v>21</v>
      </c>
      <c r="P307">
        <v>30.333977470000001</v>
      </c>
      <c r="Q307">
        <v>40.459559251000002</v>
      </c>
      <c r="R307">
        <v>23.642192135999998</v>
      </c>
      <c r="S307">
        <v>5.2735992889999999</v>
      </c>
      <c r="T307">
        <v>0.29067185399998152</v>
      </c>
      <c r="U307" t="s">
        <v>80</v>
      </c>
      <c r="AK307" t="s">
        <v>132</v>
      </c>
      <c r="AL307">
        <f t="shared" si="15"/>
        <v>12.89673126826</v>
      </c>
      <c r="AM307">
        <f t="shared" si="16"/>
        <v>4.7498949138293382E-2</v>
      </c>
      <c r="AN307">
        <f t="shared" si="17"/>
        <v>4.8959093825357833E-2</v>
      </c>
    </row>
    <row r="308" spans="1:40" x14ac:dyDescent="0.2">
      <c r="A308" t="s">
        <v>80</v>
      </c>
      <c r="B308">
        <v>2019</v>
      </c>
      <c r="C308">
        <v>179.7354033673852</v>
      </c>
      <c r="D308">
        <v>57.203019706563794</v>
      </c>
      <c r="E308">
        <v>6.175305650780559</v>
      </c>
      <c r="F308">
        <v>2.49876135898251</v>
      </c>
      <c r="G308">
        <v>7.1311355689013753</v>
      </c>
      <c r="H308">
        <v>2.5989982043285131</v>
      </c>
      <c r="I308">
        <v>7.1597746675716598E-2</v>
      </c>
      <c r="J308">
        <v>0.47451140000000003</v>
      </c>
      <c r="K308">
        <v>0.376</v>
      </c>
      <c r="L308">
        <v>13.9</v>
      </c>
      <c r="M308">
        <v>0.16402727188486779</v>
      </c>
      <c r="N308">
        <v>176</v>
      </c>
      <c r="O308">
        <v>7</v>
      </c>
      <c r="P308">
        <v>33.143868312431692</v>
      </c>
      <c r="Q308">
        <v>38.163554227706058</v>
      </c>
      <c r="R308">
        <v>22.464172121255071</v>
      </c>
      <c r="S308">
        <v>5.9032489716036727</v>
      </c>
      <c r="T308">
        <v>0.32515636700350109</v>
      </c>
      <c r="U308" t="s">
        <v>80</v>
      </c>
      <c r="V308">
        <v>3056.9594057241829</v>
      </c>
      <c r="W308">
        <v>38.278081183871002</v>
      </c>
      <c r="AK308" t="s">
        <v>132</v>
      </c>
      <c r="AL308">
        <f t="shared" si="15"/>
        <v>12.948199891929072</v>
      </c>
      <c r="AM308">
        <f t="shared" si="16"/>
        <v>4.0074093253928737E-2</v>
      </c>
      <c r="AN308">
        <f t="shared" si="17"/>
        <v>3.4357758878244077E-2</v>
      </c>
    </row>
    <row r="309" spans="1:40" x14ac:dyDescent="0.2">
      <c r="A309" t="s">
        <v>80</v>
      </c>
      <c r="B309">
        <v>2017</v>
      </c>
      <c r="C309">
        <v>159.55431714788881</v>
      </c>
      <c r="D309">
        <v>65.690371300441967</v>
      </c>
      <c r="E309">
        <v>7.4400398624959756</v>
      </c>
      <c r="F309">
        <v>3.0904227475261332</v>
      </c>
      <c r="G309">
        <v>6.7888564896179417</v>
      </c>
      <c r="H309">
        <v>2.5183887348874192</v>
      </c>
      <c r="I309">
        <v>7.5551662046622503E-2</v>
      </c>
      <c r="J309">
        <v>0.42213420000000001</v>
      </c>
      <c r="K309">
        <v>0.374</v>
      </c>
      <c r="L309">
        <v>15.1</v>
      </c>
      <c r="M309">
        <v>0.18271633535363821</v>
      </c>
      <c r="N309">
        <v>206</v>
      </c>
      <c r="O309">
        <v>21</v>
      </c>
      <c r="P309">
        <v>34.860921869000002</v>
      </c>
      <c r="Q309">
        <v>37.396916935</v>
      </c>
      <c r="R309">
        <v>22.330759141000001</v>
      </c>
      <c r="S309">
        <v>4.9640509000000002</v>
      </c>
      <c r="T309">
        <v>0.44735115499999267</v>
      </c>
      <c r="U309" t="s">
        <v>80</v>
      </c>
      <c r="V309">
        <v>2697.450575669473</v>
      </c>
      <c r="W309">
        <v>31.861360008247601</v>
      </c>
      <c r="AK309" t="s">
        <v>132</v>
      </c>
      <c r="AL309">
        <f t="shared" si="15"/>
        <v>13.011779614609999</v>
      </c>
      <c r="AM309">
        <f t="shared" si="16"/>
        <v>4.3022390583778651E-2</v>
      </c>
      <c r="AN309">
        <f t="shared" si="17"/>
        <v>4.6630138221831374E-2</v>
      </c>
    </row>
    <row r="310" spans="1:40" x14ac:dyDescent="0.2">
      <c r="A310" t="s">
        <v>81</v>
      </c>
      <c r="B310">
        <v>2016</v>
      </c>
      <c r="C310">
        <v>148.3573637353384</v>
      </c>
      <c r="D310">
        <v>74.567872280847894</v>
      </c>
      <c r="E310">
        <v>8.7896380326980594</v>
      </c>
      <c r="F310">
        <v>3.270210354891113</v>
      </c>
      <c r="G310">
        <v>8.5470258270801711</v>
      </c>
      <c r="H310">
        <v>3.2954824596429759</v>
      </c>
      <c r="I310">
        <v>0.1162516818585712</v>
      </c>
      <c r="J310">
        <v>0.3413445</v>
      </c>
      <c r="K310">
        <v>0.40300000000000002</v>
      </c>
      <c r="L310">
        <v>14.7</v>
      </c>
      <c r="M310">
        <v>0.18491841445588689</v>
      </c>
      <c r="N310">
        <v>271</v>
      </c>
      <c r="O310">
        <v>14</v>
      </c>
      <c r="P310">
        <v>26.590115959999999</v>
      </c>
      <c r="Q310">
        <v>45.897123817999997</v>
      </c>
      <c r="R310">
        <v>20.607517754</v>
      </c>
      <c r="S310">
        <v>6.2061938840000002</v>
      </c>
      <c r="T310">
        <v>0.69904858399999625</v>
      </c>
      <c r="U310" t="s">
        <v>81</v>
      </c>
      <c r="AK310" t="s">
        <v>132</v>
      </c>
      <c r="AL310">
        <f t="shared" si="15"/>
        <v>12.808489836200001</v>
      </c>
      <c r="AM310">
        <f t="shared" si="16"/>
        <v>5.8394657944944119E-2</v>
      </c>
      <c r="AN310">
        <f t="shared" si="17"/>
        <v>5.9246388661760692E-2</v>
      </c>
    </row>
    <row r="311" spans="1:40" x14ac:dyDescent="0.2">
      <c r="A311" t="s">
        <v>81</v>
      </c>
      <c r="B311">
        <v>2017</v>
      </c>
      <c r="C311">
        <v>144.3060767016681</v>
      </c>
      <c r="D311">
        <v>73.595237346921607</v>
      </c>
      <c r="E311">
        <v>9.3476799605815835</v>
      </c>
      <c r="F311">
        <v>3.2797987714188088</v>
      </c>
      <c r="G311">
        <v>8.541670679815601</v>
      </c>
      <c r="H311">
        <v>3.5028453648383269</v>
      </c>
      <c r="I311">
        <v>5.0692407595344803E-2</v>
      </c>
      <c r="J311">
        <v>0.35890939999999999</v>
      </c>
      <c r="K311">
        <v>0.39100000000000001</v>
      </c>
      <c r="L311">
        <v>14.2</v>
      </c>
      <c r="M311">
        <v>0.17345833969895669</v>
      </c>
      <c r="N311">
        <v>271</v>
      </c>
      <c r="O311">
        <v>13</v>
      </c>
      <c r="P311">
        <v>26.839534717999999</v>
      </c>
      <c r="Q311">
        <v>44.768562877999997</v>
      </c>
      <c r="R311">
        <v>20.572775284999999</v>
      </c>
      <c r="S311">
        <v>7.044253533</v>
      </c>
      <c r="T311">
        <v>0.77487358599999823</v>
      </c>
      <c r="U311" t="s">
        <v>81</v>
      </c>
      <c r="V311">
        <v>2576.7415601395578</v>
      </c>
      <c r="W311">
        <v>33.454534883380688</v>
      </c>
      <c r="AK311" t="s">
        <v>132</v>
      </c>
      <c r="AL311">
        <f t="shared" si="15"/>
        <v>12.773826424599999</v>
      </c>
      <c r="AM311">
        <f t="shared" si="16"/>
        <v>5.9542628306460108E-2</v>
      </c>
      <c r="AN311">
        <f t="shared" si="17"/>
        <v>6.4776759054343616E-2</v>
      </c>
    </row>
    <row r="312" spans="1:40" x14ac:dyDescent="0.2">
      <c r="A312" t="s">
        <v>81</v>
      </c>
      <c r="B312">
        <v>2018</v>
      </c>
      <c r="C312">
        <v>137.37697574743089</v>
      </c>
      <c r="D312">
        <v>73.252074786705251</v>
      </c>
      <c r="E312">
        <v>8.5200560589077696</v>
      </c>
      <c r="F312">
        <v>2.9947741955562042</v>
      </c>
      <c r="G312">
        <v>8.4792414191046195</v>
      </c>
      <c r="H312">
        <v>3.382513273686139</v>
      </c>
      <c r="I312">
        <v>5.1018299753938699E-2</v>
      </c>
      <c r="J312">
        <v>0.38083450000000002</v>
      </c>
      <c r="K312">
        <v>0.38600000000000001</v>
      </c>
      <c r="L312">
        <v>13.5</v>
      </c>
      <c r="M312">
        <v>0.16226115461439469</v>
      </c>
      <c r="N312">
        <v>281</v>
      </c>
      <c r="O312">
        <v>42</v>
      </c>
      <c r="P312">
        <v>27.645703917999999</v>
      </c>
      <c r="Q312">
        <v>44.951956530999993</v>
      </c>
      <c r="R312">
        <v>19.467962119999999</v>
      </c>
      <c r="S312">
        <v>7.2304168019999997</v>
      </c>
      <c r="T312">
        <v>0.70396062900002221</v>
      </c>
      <c r="U312" t="s">
        <v>81</v>
      </c>
      <c r="V312">
        <v>2382.6611690786799</v>
      </c>
      <c r="W312">
        <v>30.718604492967501</v>
      </c>
      <c r="AK312" t="s">
        <v>132</v>
      </c>
      <c r="AL312">
        <f t="shared" si="15"/>
        <v>12.810981707270003</v>
      </c>
      <c r="AM312">
        <f t="shared" si="16"/>
        <v>6.2093809187804043E-2</v>
      </c>
      <c r="AN312">
        <f t="shared" si="17"/>
        <v>6.2019534296431068E-2</v>
      </c>
    </row>
    <row r="313" spans="1:40" x14ac:dyDescent="0.2">
      <c r="A313" t="s">
        <v>81</v>
      </c>
      <c r="B313">
        <v>2022</v>
      </c>
      <c r="C313">
        <v>124.6207880263802</v>
      </c>
      <c r="D313">
        <v>55.024555274887831</v>
      </c>
      <c r="E313">
        <v>10.78563377345416</v>
      </c>
      <c r="F313">
        <v>2.7058600503257568</v>
      </c>
      <c r="G313">
        <v>8.4632389198811584</v>
      </c>
      <c r="H313">
        <v>3.7428363570374241</v>
      </c>
      <c r="I313">
        <v>0.27004591320616328</v>
      </c>
      <c r="J313">
        <v>0.51420319999999997</v>
      </c>
      <c r="K313">
        <v>0.378</v>
      </c>
      <c r="L313">
        <v>11.1</v>
      </c>
      <c r="M313">
        <v>0.13475939179179239</v>
      </c>
      <c r="N313">
        <v>1158</v>
      </c>
      <c r="O313">
        <v>39</v>
      </c>
      <c r="P313">
        <v>27.57575763233659</v>
      </c>
      <c r="Q313">
        <v>44.212232617989102</v>
      </c>
      <c r="R313">
        <v>17.597659541435981</v>
      </c>
      <c r="S313">
        <v>9.9510692842712434</v>
      </c>
      <c r="T313">
        <v>0.66328092396707916</v>
      </c>
      <c r="U313" t="s">
        <v>81</v>
      </c>
      <c r="V313">
        <v>910.14030633043467</v>
      </c>
      <c r="W313">
        <v>36.346653910618947</v>
      </c>
      <c r="AK313" t="s">
        <v>132</v>
      </c>
      <c r="AL313">
        <f t="shared" si="15"/>
        <v>12.741823907290124</v>
      </c>
      <c r="AM313">
        <f t="shared" si="16"/>
        <v>7.0078876657709996E-2</v>
      </c>
      <c r="AN313">
        <f t="shared" si="17"/>
        <v>8.6547629366386422E-2</v>
      </c>
    </row>
    <row r="314" spans="1:40" x14ac:dyDescent="0.2">
      <c r="A314" t="s">
        <v>81</v>
      </c>
      <c r="B314">
        <v>2021</v>
      </c>
      <c r="C314">
        <v>125.1526652396024</v>
      </c>
      <c r="D314">
        <v>57.856514373514393</v>
      </c>
      <c r="E314">
        <v>8.0265801673079693</v>
      </c>
      <c r="F314">
        <v>2.684281718255479</v>
      </c>
      <c r="G314">
        <v>8.3417600168095927</v>
      </c>
      <c r="H314">
        <v>3.0940155226075881</v>
      </c>
      <c r="I314">
        <v>0.17860191471758571</v>
      </c>
      <c r="J314">
        <v>0.42687180000000002</v>
      </c>
      <c r="K314">
        <v>0.375</v>
      </c>
      <c r="L314">
        <v>12.6</v>
      </c>
      <c r="M314">
        <v>0.1391498019037051</v>
      </c>
      <c r="N314">
        <v>283</v>
      </c>
      <c r="O314">
        <v>39</v>
      </c>
      <c r="P314">
        <v>27.235038231252041</v>
      </c>
      <c r="Q314">
        <v>44.48444386556443</v>
      </c>
      <c r="R314">
        <v>20.498147548963871</v>
      </c>
      <c r="S314">
        <v>7.0487554883357397</v>
      </c>
      <c r="T314">
        <v>0.73361486588392211</v>
      </c>
      <c r="U314" t="s">
        <v>81</v>
      </c>
      <c r="V314">
        <v>879.63693088023444</v>
      </c>
      <c r="W314">
        <v>35.634142902200367</v>
      </c>
      <c r="AK314" t="s">
        <v>132</v>
      </c>
      <c r="AL314">
        <f t="shared" si="15"/>
        <v>12.786762256182783</v>
      </c>
      <c r="AM314">
        <f t="shared" si="16"/>
        <v>6.8079748163693582E-2</v>
      </c>
      <c r="AN314">
        <f t="shared" si="17"/>
        <v>6.4134312696747076E-2</v>
      </c>
    </row>
    <row r="315" spans="1:40" x14ac:dyDescent="0.2">
      <c r="A315" t="s">
        <v>81</v>
      </c>
      <c r="B315">
        <v>2019</v>
      </c>
      <c r="C315">
        <v>127.9089803234758</v>
      </c>
      <c r="D315">
        <v>66.454239415284988</v>
      </c>
      <c r="E315">
        <v>8.0650346287280854</v>
      </c>
      <c r="F315">
        <v>2.7054899328513851</v>
      </c>
      <c r="G315">
        <v>8.0598911117454772</v>
      </c>
      <c r="H315">
        <v>2.9060870951730662</v>
      </c>
      <c r="I315">
        <v>0.1954536453390735</v>
      </c>
      <c r="J315">
        <v>0.40347949999999999</v>
      </c>
      <c r="K315">
        <v>0.38200000000000001</v>
      </c>
      <c r="L315">
        <v>13.7</v>
      </c>
      <c r="M315">
        <v>0.15235436038970659</v>
      </c>
      <c r="N315">
        <v>208</v>
      </c>
      <c r="O315">
        <v>40</v>
      </c>
      <c r="P315">
        <v>26.34283839614044</v>
      </c>
      <c r="Q315">
        <v>44.918697550331771</v>
      </c>
      <c r="R315">
        <v>20.708008133814459</v>
      </c>
      <c r="S315">
        <v>7.2166803938819708</v>
      </c>
      <c r="T315">
        <v>0.81377552583136037</v>
      </c>
      <c r="U315" t="s">
        <v>81</v>
      </c>
      <c r="V315">
        <v>2486.0548403196149</v>
      </c>
      <c r="W315">
        <v>32.90650867445288</v>
      </c>
      <c r="AK315" t="s">
        <v>132</v>
      </c>
      <c r="AL315">
        <f t="shared" si="15"/>
        <v>12.750789592166418</v>
      </c>
      <c r="AM315">
        <f t="shared" si="16"/>
        <v>6.4540775293549929E-2</v>
      </c>
      <c r="AN315">
        <f t="shared" si="17"/>
        <v>6.3052919414508593E-2</v>
      </c>
    </row>
    <row r="316" spans="1:40" x14ac:dyDescent="0.2">
      <c r="A316" t="s">
        <v>81</v>
      </c>
      <c r="B316">
        <v>2020</v>
      </c>
      <c r="C316">
        <v>127.1264075487955</v>
      </c>
      <c r="D316">
        <v>59.252646412323891</v>
      </c>
      <c r="E316">
        <v>6.6384140470709747</v>
      </c>
      <c r="F316">
        <v>2.5069225838430662</v>
      </c>
      <c r="G316">
        <v>7.6453353333350638</v>
      </c>
      <c r="H316">
        <v>2.8702446974435101</v>
      </c>
      <c r="I316">
        <v>0.16609010907448879</v>
      </c>
      <c r="J316">
        <v>0.40737099999999998</v>
      </c>
      <c r="K316">
        <v>0.372</v>
      </c>
      <c r="L316">
        <v>13.4</v>
      </c>
      <c r="M316">
        <v>0.14441315264287891</v>
      </c>
      <c r="N316">
        <v>288</v>
      </c>
      <c r="O316">
        <v>39</v>
      </c>
      <c r="P316">
        <v>29.457779789</v>
      </c>
      <c r="Q316">
        <v>44.693084790999997</v>
      </c>
      <c r="R316">
        <v>18.232860089999999</v>
      </c>
      <c r="S316">
        <v>6.9599111059999998</v>
      </c>
      <c r="T316">
        <v>0.65636422400001493</v>
      </c>
      <c r="U316" t="s">
        <v>81</v>
      </c>
      <c r="V316">
        <v>2581.8679814876882</v>
      </c>
      <c r="W316">
        <v>37.713069798138413</v>
      </c>
      <c r="AK316" t="s">
        <v>132</v>
      </c>
      <c r="AL316">
        <f t="shared" si="15"/>
        <v>12.88702916958</v>
      </c>
      <c r="AM316">
        <f t="shared" si="16"/>
        <v>6.144612746498998E-2</v>
      </c>
      <c r="AN316">
        <f t="shared" si="17"/>
        <v>5.2219001347323706E-2</v>
      </c>
    </row>
    <row r="317" spans="1:40" x14ac:dyDescent="0.2">
      <c r="A317" t="s">
        <v>82</v>
      </c>
      <c r="B317">
        <v>2019</v>
      </c>
      <c r="C317">
        <v>136.48448528201891</v>
      </c>
      <c r="D317">
        <v>70.08125798838212</v>
      </c>
      <c r="E317">
        <v>11.574079970168221</v>
      </c>
      <c r="F317">
        <v>2.5114530921183671</v>
      </c>
      <c r="G317">
        <v>6.861921531609414</v>
      </c>
      <c r="H317">
        <v>3.4131309771182679</v>
      </c>
      <c r="I317">
        <v>0.478857181864354</v>
      </c>
      <c r="J317">
        <v>0.58101080000000005</v>
      </c>
      <c r="K317">
        <v>0.379</v>
      </c>
      <c r="L317">
        <v>13.9</v>
      </c>
      <c r="M317">
        <v>0.154864592310858</v>
      </c>
      <c r="N317">
        <v>182</v>
      </c>
      <c r="O317">
        <v>6</v>
      </c>
      <c r="P317">
        <v>27.600589797085529</v>
      </c>
      <c r="Q317">
        <v>52.321324737109052</v>
      </c>
      <c r="R317">
        <v>14.185714870390729</v>
      </c>
      <c r="S317">
        <v>5.8817093208281648</v>
      </c>
      <c r="T317">
        <v>1.0661274586524881E-2</v>
      </c>
      <c r="U317" t="s">
        <v>82</v>
      </c>
      <c r="V317">
        <v>2798.4905677337961</v>
      </c>
      <c r="W317">
        <v>32.522414877639903</v>
      </c>
      <c r="AK317" t="s">
        <v>135</v>
      </c>
      <c r="AL317">
        <f t="shared" si="15"/>
        <v>13.032069610987982</v>
      </c>
      <c r="AM317">
        <f t="shared" si="16"/>
        <v>5.378471185428485E-2</v>
      </c>
      <c r="AN317">
        <f t="shared" si="17"/>
        <v>8.4801433263660797E-2</v>
      </c>
    </row>
    <row r="318" spans="1:40" x14ac:dyDescent="0.2">
      <c r="A318" t="s">
        <v>82</v>
      </c>
      <c r="B318">
        <v>2018</v>
      </c>
      <c r="C318">
        <v>132.61735736100161</v>
      </c>
      <c r="D318">
        <v>71.622878870618692</v>
      </c>
      <c r="E318">
        <v>12.49418522338855</v>
      </c>
      <c r="F318">
        <v>2.1641081649576281</v>
      </c>
      <c r="G318">
        <v>6.5681694071961649</v>
      </c>
      <c r="H318">
        <v>3.316950832271504</v>
      </c>
      <c r="I318">
        <v>0.2325910644580628</v>
      </c>
      <c r="J318">
        <v>0.55125519999999995</v>
      </c>
      <c r="K318">
        <v>0.38300000000000001</v>
      </c>
      <c r="L318">
        <v>13.8</v>
      </c>
      <c r="M318">
        <v>0.1627239593801347</v>
      </c>
      <c r="N318">
        <v>251</v>
      </c>
      <c r="O318">
        <v>5</v>
      </c>
      <c r="P318">
        <v>28.098304172999999</v>
      </c>
      <c r="Q318">
        <v>50.616478287</v>
      </c>
      <c r="R318">
        <v>15.324625319000001</v>
      </c>
      <c r="S318">
        <v>5.9487973260000002</v>
      </c>
      <c r="T318">
        <v>1.1794894999994201E-2</v>
      </c>
      <c r="U318" t="s">
        <v>82</v>
      </c>
      <c r="V318">
        <v>2685.0426055372618</v>
      </c>
      <c r="W318">
        <v>31.943173524172082</v>
      </c>
      <c r="AK318" t="s">
        <v>135</v>
      </c>
      <c r="AL318">
        <f t="shared" si="15"/>
        <v>13.016460143490001</v>
      </c>
      <c r="AM318">
        <f t="shared" si="16"/>
        <v>5.1281073661735531E-2</v>
      </c>
      <c r="AN318">
        <f t="shared" si="17"/>
        <v>9.421229220680187E-2</v>
      </c>
    </row>
    <row r="319" spans="1:40" x14ac:dyDescent="0.2">
      <c r="A319" t="s">
        <v>82</v>
      </c>
      <c r="B319">
        <v>2021</v>
      </c>
      <c r="C319">
        <v>128.61602283167301</v>
      </c>
      <c r="D319">
        <v>67.815627549326649</v>
      </c>
      <c r="E319">
        <v>7.4681599555307363</v>
      </c>
      <c r="F319">
        <v>2.0844967484424179</v>
      </c>
      <c r="G319">
        <v>6.1659928509481876</v>
      </c>
      <c r="H319">
        <v>3.4793081529557401</v>
      </c>
      <c r="I319">
        <v>0.3139612386542901</v>
      </c>
      <c r="J319">
        <v>0.75495880000000004</v>
      </c>
      <c r="K319">
        <v>0.37</v>
      </c>
      <c r="L319">
        <v>13.2</v>
      </c>
      <c r="M319">
        <v>0.14615766506164751</v>
      </c>
      <c r="N319">
        <v>238</v>
      </c>
      <c r="O319">
        <v>7</v>
      </c>
      <c r="P319">
        <v>28.258517346787411</v>
      </c>
      <c r="Q319">
        <v>52.746775626217499</v>
      </c>
      <c r="R319">
        <v>13.192584143107419</v>
      </c>
      <c r="S319">
        <v>5.7330129757760497</v>
      </c>
      <c r="T319">
        <v>6.9109908111613549E-2</v>
      </c>
      <c r="U319" t="s">
        <v>82</v>
      </c>
      <c r="V319">
        <v>976.65265920792501</v>
      </c>
      <c r="W319">
        <v>34.6083542131258</v>
      </c>
      <c r="AK319" t="s">
        <v>135</v>
      </c>
      <c r="AL319">
        <f t="shared" si="15"/>
        <v>13.065778253312512</v>
      </c>
      <c r="AM319">
        <f t="shared" si="16"/>
        <v>5.0382168153987751E-2</v>
      </c>
      <c r="AN319">
        <f t="shared" si="17"/>
        <v>5.8065548841490268E-2</v>
      </c>
    </row>
    <row r="320" spans="1:40" x14ac:dyDescent="0.2">
      <c r="A320" t="s">
        <v>82</v>
      </c>
      <c r="B320">
        <v>2020</v>
      </c>
      <c r="C320">
        <v>140.44617967278791</v>
      </c>
      <c r="D320">
        <v>67.353660375044399</v>
      </c>
      <c r="E320">
        <v>11.150659100026321</v>
      </c>
      <c r="F320">
        <v>2.2996318033968119</v>
      </c>
      <c r="G320">
        <v>6.0608073751747087</v>
      </c>
      <c r="H320">
        <v>3.1428301313089761</v>
      </c>
      <c r="I320">
        <v>0.34749991695774041</v>
      </c>
      <c r="J320">
        <v>0.55415519999999996</v>
      </c>
      <c r="K320">
        <v>0.36799999999999999</v>
      </c>
      <c r="L320">
        <v>13.6</v>
      </c>
      <c r="M320">
        <v>0.1498732374260639</v>
      </c>
      <c r="N320">
        <v>239</v>
      </c>
      <c r="O320">
        <v>6</v>
      </c>
      <c r="P320">
        <v>29.936966173999998</v>
      </c>
      <c r="Q320">
        <v>49.676964687999998</v>
      </c>
      <c r="R320">
        <v>14.485751122</v>
      </c>
      <c r="S320">
        <v>5.8726726039999999</v>
      </c>
      <c r="T320">
        <v>2.764541200001247E-2</v>
      </c>
      <c r="U320" t="s">
        <v>82</v>
      </c>
      <c r="V320">
        <v>2928.0311935572968</v>
      </c>
      <c r="W320">
        <v>35.111657506508529</v>
      </c>
      <c r="AK320" t="s">
        <v>135</v>
      </c>
      <c r="AL320">
        <f t="shared" si="15"/>
        <v>13.071629309799999</v>
      </c>
      <c r="AM320">
        <f t="shared" si="16"/>
        <v>4.5628206527671668E-2</v>
      </c>
      <c r="AN320">
        <f t="shared" si="17"/>
        <v>7.9394534803333014E-2</v>
      </c>
    </row>
    <row r="321" spans="1:40" x14ac:dyDescent="0.2">
      <c r="A321" t="s">
        <v>82</v>
      </c>
      <c r="B321">
        <v>2022</v>
      </c>
      <c r="C321">
        <v>117.1582207167764</v>
      </c>
      <c r="D321">
        <v>63.660528909391793</v>
      </c>
      <c r="E321">
        <v>6.1160233885356083</v>
      </c>
      <c r="F321">
        <v>2.51646072462214</v>
      </c>
      <c r="G321">
        <v>5.7064923070125193</v>
      </c>
      <c r="H321">
        <v>3.3786314225654861</v>
      </c>
      <c r="I321">
        <v>0.33947971231519242</v>
      </c>
      <c r="J321">
        <v>0.85004019999999991</v>
      </c>
      <c r="K321">
        <v>0.36799999999999999</v>
      </c>
      <c r="L321">
        <v>11.6</v>
      </c>
      <c r="M321">
        <v>0.1445429175102019</v>
      </c>
      <c r="N321">
        <v>244</v>
      </c>
      <c r="O321">
        <v>7</v>
      </c>
      <c r="P321">
        <v>27.98393144273399</v>
      </c>
      <c r="Q321">
        <v>53.167561461752882</v>
      </c>
      <c r="R321">
        <v>13.73311254457613</v>
      </c>
      <c r="S321">
        <v>5.0966544740322091</v>
      </c>
      <c r="T321">
        <v>1.8740076904791181E-2</v>
      </c>
      <c r="U321" t="s">
        <v>82</v>
      </c>
      <c r="V321">
        <v>909.04253756435548</v>
      </c>
      <c r="W321">
        <v>35.792442065488508</v>
      </c>
      <c r="AK321" t="s">
        <v>135</v>
      </c>
      <c r="AL321">
        <f t="shared" si="15"/>
        <v>13.07946359208044</v>
      </c>
      <c r="AM321">
        <f t="shared" si="16"/>
        <v>5.1605188115168794E-2</v>
      </c>
      <c r="AN321">
        <f t="shared" si="17"/>
        <v>5.2203109189586969E-2</v>
      </c>
    </row>
    <row r="322" spans="1:40" x14ac:dyDescent="0.2">
      <c r="A322" t="s">
        <v>82</v>
      </c>
      <c r="B322">
        <v>2017</v>
      </c>
      <c r="C322">
        <v>136.77196647146721</v>
      </c>
      <c r="D322">
        <v>76.669101005282997</v>
      </c>
      <c r="E322">
        <v>11.364156114654831</v>
      </c>
      <c r="F322">
        <v>2.4929771927770008</v>
      </c>
      <c r="G322">
        <v>5.6795649754798596</v>
      </c>
      <c r="H322">
        <v>3.950564664360328</v>
      </c>
      <c r="I322">
        <v>0.14073258346321779</v>
      </c>
      <c r="J322">
        <v>0.45000990000000002</v>
      </c>
      <c r="K322">
        <v>0.38300000000000001</v>
      </c>
      <c r="L322">
        <v>14</v>
      </c>
      <c r="M322">
        <v>0.17117141618282061</v>
      </c>
      <c r="N322">
        <v>261</v>
      </c>
      <c r="O322">
        <v>5</v>
      </c>
      <c r="P322">
        <v>26.461635803</v>
      </c>
      <c r="Q322">
        <v>52.369402371</v>
      </c>
      <c r="R322">
        <v>15.69193383</v>
      </c>
      <c r="S322">
        <v>5.2909862140000001</v>
      </c>
      <c r="T322">
        <v>0.18604178200000379</v>
      </c>
      <c r="U322" t="s">
        <v>82</v>
      </c>
      <c r="V322">
        <v>2807.8665405873671</v>
      </c>
      <c r="W322">
        <v>29.668541848745249</v>
      </c>
      <c r="AK322" t="s">
        <v>135</v>
      </c>
      <c r="AL322">
        <f t="shared" si="15"/>
        <v>12.987010830520003</v>
      </c>
      <c r="AM322">
        <f t="shared" si="16"/>
        <v>4.2554755255034542E-2</v>
      </c>
      <c r="AN322">
        <f t="shared" si="17"/>
        <v>8.3088343377921481E-2</v>
      </c>
    </row>
    <row r="323" spans="1:40" x14ac:dyDescent="0.2">
      <c r="A323" t="s">
        <v>82</v>
      </c>
      <c r="B323">
        <v>2016</v>
      </c>
      <c r="C323">
        <v>136.50751317701059</v>
      </c>
      <c r="D323">
        <v>76.149435371237274</v>
      </c>
      <c r="E323">
        <v>7.7803768068571593</v>
      </c>
      <c r="F323">
        <v>3.068035184147281</v>
      </c>
      <c r="G323">
        <v>4.8928142806008941</v>
      </c>
      <c r="H323">
        <v>2.9477200788866038</v>
      </c>
      <c r="I323">
        <v>0.18047265789101649</v>
      </c>
      <c r="J323">
        <v>0.41682330000000001</v>
      </c>
      <c r="K323">
        <v>0.38200000000000001</v>
      </c>
      <c r="L323">
        <v>14.3</v>
      </c>
      <c r="M323">
        <v>0.17989818469669369</v>
      </c>
      <c r="N323">
        <v>258</v>
      </c>
      <c r="O323">
        <v>5</v>
      </c>
      <c r="P323">
        <v>28.170320404000002</v>
      </c>
      <c r="Q323">
        <v>49.59100179</v>
      </c>
      <c r="R323">
        <v>17.617917016</v>
      </c>
      <c r="S323">
        <v>4.5253520949999997</v>
      </c>
      <c r="T323">
        <v>9.5408694999989052E-2</v>
      </c>
      <c r="U323" t="s">
        <v>82</v>
      </c>
      <c r="AK323" t="s">
        <v>135</v>
      </c>
      <c r="AL323">
        <f t="shared" si="15"/>
        <v>13.021447201410002</v>
      </c>
      <c r="AM323">
        <f t="shared" si="16"/>
        <v>3.7164891663606314E-2</v>
      </c>
      <c r="AN323">
        <f t="shared" si="17"/>
        <v>5.6995960337862653E-2</v>
      </c>
    </row>
    <row r="324" spans="1:40" x14ac:dyDescent="0.2">
      <c r="A324" t="s">
        <v>83</v>
      </c>
      <c r="B324">
        <v>2022</v>
      </c>
      <c r="C324">
        <v>116.0948307308355</v>
      </c>
      <c r="D324">
        <v>44.928122046750602</v>
      </c>
      <c r="E324">
        <v>5.5350319637532861</v>
      </c>
      <c r="F324">
        <v>2.2675321785350611</v>
      </c>
      <c r="G324">
        <v>8.2250856662389804</v>
      </c>
      <c r="H324">
        <v>3.6336851059754398</v>
      </c>
      <c r="I324">
        <v>7.0420253991772097E-2</v>
      </c>
      <c r="J324">
        <v>0.52457090000000006</v>
      </c>
      <c r="K324">
        <v>0.36599999999999999</v>
      </c>
      <c r="L324">
        <v>10.9</v>
      </c>
      <c r="M324">
        <v>0.13723921619440491</v>
      </c>
      <c r="N324">
        <v>112</v>
      </c>
      <c r="O324">
        <v>3</v>
      </c>
      <c r="P324">
        <v>31.65429889571389</v>
      </c>
      <c r="Q324">
        <v>49.2246851201621</v>
      </c>
      <c r="R324">
        <v>15.542177677018991</v>
      </c>
      <c r="S324">
        <v>3.521338627574901</v>
      </c>
      <c r="T324">
        <v>5.7499679530096159E-2</v>
      </c>
      <c r="U324" t="s">
        <v>83</v>
      </c>
      <c r="V324">
        <v>883.01510561168743</v>
      </c>
      <c r="W324">
        <v>33.0167535074903</v>
      </c>
      <c r="AK324" t="s">
        <v>136</v>
      </c>
      <c r="AL324">
        <f t="shared" si="15"/>
        <v>13.176213908113191</v>
      </c>
      <c r="AM324">
        <f t="shared" si="16"/>
        <v>7.1454567511828201E-2</v>
      </c>
      <c r="AN324">
        <f t="shared" si="17"/>
        <v>4.7676816692951582E-2</v>
      </c>
    </row>
    <row r="325" spans="1:40" x14ac:dyDescent="0.2">
      <c r="A325" t="s">
        <v>83</v>
      </c>
      <c r="B325">
        <v>2021</v>
      </c>
      <c r="C325">
        <v>112.47630008031059</v>
      </c>
      <c r="D325">
        <v>43.881074009985007</v>
      </c>
      <c r="E325">
        <v>5.2712485131491427</v>
      </c>
      <c r="F325">
        <v>1.7938803840559909</v>
      </c>
      <c r="G325">
        <v>7.9620690892331298</v>
      </c>
      <c r="H325">
        <v>2.6080260968198639</v>
      </c>
      <c r="I325">
        <v>8.2794479264122603E-2</v>
      </c>
      <c r="J325">
        <v>0.47276560000000001</v>
      </c>
      <c r="K325">
        <v>0.36599999999999999</v>
      </c>
      <c r="L325">
        <v>12.1</v>
      </c>
      <c r="M325">
        <v>0.1425658750655352</v>
      </c>
      <c r="N325">
        <v>114</v>
      </c>
      <c r="O325">
        <v>4</v>
      </c>
      <c r="P325">
        <v>34.444318274909477</v>
      </c>
      <c r="Q325">
        <v>46.251981298439098</v>
      </c>
      <c r="R325">
        <v>15.02058921055214</v>
      </c>
      <c r="S325">
        <v>4.2831112160976863</v>
      </c>
      <c r="T325">
        <v>1.605826582817826E-12</v>
      </c>
      <c r="U325" t="s">
        <v>83</v>
      </c>
      <c r="V325">
        <v>881.84653763759388</v>
      </c>
      <c r="W325">
        <v>30.589826090552059</v>
      </c>
      <c r="AK325" t="s">
        <v>136</v>
      </c>
      <c r="AL325">
        <f t="shared" si="15"/>
        <v>13.217150132643097</v>
      </c>
      <c r="AM325">
        <f t="shared" si="16"/>
        <v>7.152496626180839E-2</v>
      </c>
      <c r="AN325">
        <f t="shared" si="17"/>
        <v>4.6865415286467933E-2</v>
      </c>
    </row>
    <row r="326" spans="1:40" x14ac:dyDescent="0.2">
      <c r="A326" t="s">
        <v>83</v>
      </c>
      <c r="B326">
        <v>2016</v>
      </c>
      <c r="C326">
        <v>122.5844750901976</v>
      </c>
      <c r="D326">
        <v>55.94158908336086</v>
      </c>
      <c r="E326">
        <v>4.7780698440611751</v>
      </c>
      <c r="F326">
        <v>2.4482671928247339</v>
      </c>
      <c r="G326">
        <v>7.608056115337078</v>
      </c>
      <c r="H326">
        <v>2.2245008364912908</v>
      </c>
      <c r="I326">
        <v>0.26325453686287459</v>
      </c>
      <c r="J326">
        <v>0.30265999999999998</v>
      </c>
      <c r="K326">
        <v>0.37</v>
      </c>
      <c r="L326">
        <v>14.2</v>
      </c>
      <c r="M326">
        <v>0.17680099645593131</v>
      </c>
      <c r="N326">
        <v>117</v>
      </c>
      <c r="O326">
        <v>4</v>
      </c>
      <c r="P326">
        <v>33.675333477999999</v>
      </c>
      <c r="Q326">
        <v>48.258745481000012</v>
      </c>
      <c r="R326">
        <v>14.820698826999999</v>
      </c>
      <c r="S326">
        <v>3.245222214</v>
      </c>
      <c r="T326">
        <v>0</v>
      </c>
      <c r="U326" t="s">
        <v>83</v>
      </c>
      <c r="AK326" t="s">
        <v>136</v>
      </c>
      <c r="AL326">
        <f t="shared" si="15"/>
        <v>13.24728380446</v>
      </c>
      <c r="AM326">
        <f t="shared" si="16"/>
        <v>6.4211317513153648E-2</v>
      </c>
      <c r="AN326">
        <f t="shared" si="17"/>
        <v>3.897777300547621E-2</v>
      </c>
    </row>
    <row r="327" spans="1:40" x14ac:dyDescent="0.2">
      <c r="A327" t="s">
        <v>83</v>
      </c>
      <c r="B327">
        <v>2018</v>
      </c>
      <c r="C327">
        <v>120.3484256209794</v>
      </c>
      <c r="D327">
        <v>50.518770901723258</v>
      </c>
      <c r="E327">
        <v>3.8407648341177678</v>
      </c>
      <c r="F327">
        <v>1.9136911891248809</v>
      </c>
      <c r="G327">
        <v>6.7982875809471306</v>
      </c>
      <c r="H327">
        <v>2.315164865165066</v>
      </c>
      <c r="I327">
        <v>6.69122793400308E-2</v>
      </c>
      <c r="J327">
        <v>0.33366119999999999</v>
      </c>
      <c r="K327">
        <v>0.36699999999999999</v>
      </c>
      <c r="L327">
        <v>13.5</v>
      </c>
      <c r="M327">
        <v>0.16282086575842819</v>
      </c>
      <c r="N327">
        <v>110</v>
      </c>
      <c r="O327">
        <v>4</v>
      </c>
      <c r="P327">
        <v>35.657790542000001</v>
      </c>
      <c r="Q327">
        <v>48.034492370000002</v>
      </c>
      <c r="R327">
        <v>12.968219341999999</v>
      </c>
      <c r="S327">
        <v>3.3394977460000002</v>
      </c>
      <c r="T327">
        <v>0</v>
      </c>
      <c r="U327" t="s">
        <v>83</v>
      </c>
      <c r="V327">
        <v>2457.5172899222321</v>
      </c>
      <c r="W327">
        <v>33.087494664591588</v>
      </c>
      <c r="AK327" t="s">
        <v>136</v>
      </c>
      <c r="AL327">
        <f t="shared" si="15"/>
        <v>13.320211514160002</v>
      </c>
      <c r="AM327">
        <f t="shared" si="16"/>
        <v>5.7044367841654627E-2</v>
      </c>
      <c r="AN327">
        <f t="shared" si="17"/>
        <v>3.1913710663849661E-2</v>
      </c>
    </row>
    <row r="328" spans="1:40" x14ac:dyDescent="0.2">
      <c r="A328" t="s">
        <v>83</v>
      </c>
      <c r="B328">
        <v>2019</v>
      </c>
      <c r="C328">
        <v>121.1548317910062</v>
      </c>
      <c r="D328">
        <v>48.981225666595002</v>
      </c>
      <c r="E328">
        <v>4.7601853767646158</v>
      </c>
      <c r="F328">
        <v>1.8797322936655729</v>
      </c>
      <c r="G328">
        <v>6.585824654785136</v>
      </c>
      <c r="H328">
        <v>1.7444997545529419</v>
      </c>
      <c r="I328">
        <v>4.0569761733789303E-2</v>
      </c>
      <c r="J328">
        <v>0.363618</v>
      </c>
      <c r="K328">
        <v>0.36499999999999999</v>
      </c>
      <c r="L328">
        <v>13.6</v>
      </c>
      <c r="M328">
        <v>0.155150432240659</v>
      </c>
      <c r="N328">
        <v>90</v>
      </c>
      <c r="O328">
        <v>4</v>
      </c>
      <c r="P328">
        <v>35.890554090743173</v>
      </c>
      <c r="Q328">
        <v>46.756973740335432</v>
      </c>
      <c r="R328">
        <v>13.44460023939744</v>
      </c>
      <c r="S328">
        <v>3.9078719295244349</v>
      </c>
      <c r="T328">
        <v>-4.6895820560166612E-13</v>
      </c>
      <c r="U328" t="s">
        <v>83</v>
      </c>
      <c r="V328">
        <v>2467.8371120567331</v>
      </c>
      <c r="W328">
        <v>33.591452576046883</v>
      </c>
      <c r="AK328" t="s">
        <v>136</v>
      </c>
      <c r="AL328">
        <f t="shared" si="15"/>
        <v>13.292604199845981</v>
      </c>
      <c r="AM328">
        <f t="shared" si="16"/>
        <v>5.4693604196896985E-2</v>
      </c>
      <c r="AN328">
        <f t="shared" si="17"/>
        <v>3.9290099341444368E-2</v>
      </c>
    </row>
    <row r="329" spans="1:40" x14ac:dyDescent="0.2">
      <c r="A329" t="s">
        <v>83</v>
      </c>
      <c r="B329">
        <v>2020</v>
      </c>
      <c r="C329">
        <v>116.63290152120391</v>
      </c>
      <c r="D329">
        <v>46.653160608481549</v>
      </c>
      <c r="E329">
        <v>4.798922423783023</v>
      </c>
      <c r="F329">
        <v>2.1540617697662441</v>
      </c>
      <c r="G329">
        <v>6.434918704618144</v>
      </c>
      <c r="H329">
        <v>2.1540617697662441</v>
      </c>
      <c r="I329">
        <v>9.5433116382048697E-2</v>
      </c>
      <c r="J329">
        <v>0.38987369999999999</v>
      </c>
      <c r="K329">
        <v>0.35699999999999998</v>
      </c>
      <c r="L329">
        <v>12.9</v>
      </c>
      <c r="M329">
        <v>0.14860395333135201</v>
      </c>
      <c r="N329">
        <v>115</v>
      </c>
      <c r="O329">
        <v>4</v>
      </c>
      <c r="P329">
        <v>34.608712632</v>
      </c>
      <c r="Q329">
        <v>48.184313859</v>
      </c>
      <c r="R329">
        <v>13.567874589000001</v>
      </c>
      <c r="S329">
        <v>3.6069776490000001</v>
      </c>
      <c r="T329">
        <v>3.2121270999994067E-2</v>
      </c>
      <c r="U329" t="s">
        <v>83</v>
      </c>
      <c r="V329">
        <v>2451.9996555967109</v>
      </c>
      <c r="W329">
        <v>30.818439917665749</v>
      </c>
      <c r="AK329" t="s">
        <v>136</v>
      </c>
      <c r="AL329">
        <f t="shared" si="15"/>
        <v>13.273646740510001</v>
      </c>
      <c r="AM329">
        <f t="shared" si="16"/>
        <v>5.5990648743424874E-2</v>
      </c>
      <c r="AN329">
        <f t="shared" si="17"/>
        <v>4.1145528930450016E-2</v>
      </c>
    </row>
    <row r="330" spans="1:40" x14ac:dyDescent="0.2">
      <c r="A330" t="s">
        <v>83</v>
      </c>
      <c r="B330">
        <v>2017</v>
      </c>
      <c r="C330">
        <v>117.2206206545701</v>
      </c>
      <c r="D330">
        <v>54.410611327793788</v>
      </c>
      <c r="E330">
        <v>4.2526920468034604</v>
      </c>
      <c r="F330">
        <v>2.1064736306596581</v>
      </c>
      <c r="G330">
        <v>6.3459174156350686</v>
      </c>
      <c r="H330">
        <v>2.3979353908767171</v>
      </c>
      <c r="I330">
        <v>0.15897914193657789</v>
      </c>
      <c r="J330">
        <v>0.30871890000000002</v>
      </c>
      <c r="K330">
        <v>0.36799999999999999</v>
      </c>
      <c r="L330">
        <v>13.9</v>
      </c>
      <c r="M330">
        <v>0.1700659573111101</v>
      </c>
      <c r="N330">
        <v>111</v>
      </c>
      <c r="O330">
        <v>4</v>
      </c>
      <c r="P330">
        <v>34.478334107000002</v>
      </c>
      <c r="Q330">
        <v>49.775234353999998</v>
      </c>
      <c r="R330">
        <v>11.983519896000001</v>
      </c>
      <c r="S330">
        <v>3.7629116420000002</v>
      </c>
      <c r="T330">
        <v>9.999894245993346E-10</v>
      </c>
      <c r="U330" t="s">
        <v>83</v>
      </c>
      <c r="V330">
        <v>2415.755073028326</v>
      </c>
      <c r="W330">
        <v>32.173835649340319</v>
      </c>
      <c r="AK330" t="s">
        <v>136</v>
      </c>
      <c r="AL330">
        <f t="shared" si="15"/>
        <v>13.299379818449999</v>
      </c>
      <c r="AM330">
        <f t="shared" si="16"/>
        <v>5.5492766726943948E-2</v>
      </c>
      <c r="AN330">
        <f t="shared" si="17"/>
        <v>3.6279385171790253E-2</v>
      </c>
    </row>
    <row r="331" spans="1:40" x14ac:dyDescent="0.2">
      <c r="A331" t="s">
        <v>84</v>
      </c>
      <c r="B331">
        <v>2022</v>
      </c>
      <c r="C331">
        <v>105.2570646489621</v>
      </c>
      <c r="D331">
        <v>54.848810921867603</v>
      </c>
      <c r="E331">
        <v>7.9295664192377622</v>
      </c>
      <c r="F331">
        <v>2.386799492190566</v>
      </c>
      <c r="G331">
        <v>6.2564279047785938</v>
      </c>
      <c r="H331">
        <v>3.0608126378257769</v>
      </c>
      <c r="I331">
        <v>0.1585913283847552</v>
      </c>
      <c r="J331">
        <v>0.47284969999999998</v>
      </c>
      <c r="K331">
        <v>0.35499999999999998</v>
      </c>
      <c r="L331">
        <v>10.7</v>
      </c>
      <c r="M331">
        <v>0.1339057951650261</v>
      </c>
      <c r="N331">
        <v>148</v>
      </c>
      <c r="O331">
        <v>5</v>
      </c>
      <c r="P331">
        <v>33.748737932614517</v>
      </c>
      <c r="Q331">
        <v>43.81165979636561</v>
      </c>
      <c r="R331">
        <v>19.294374648278069</v>
      </c>
      <c r="S331">
        <v>2.998199158016098</v>
      </c>
      <c r="T331">
        <v>0.14702846472570741</v>
      </c>
      <c r="U331" t="s">
        <v>84</v>
      </c>
      <c r="V331">
        <v>919.12266660508715</v>
      </c>
      <c r="W331">
        <v>38.288532676138303</v>
      </c>
      <c r="AK331" t="s">
        <v>135</v>
      </c>
      <c r="AL331">
        <f t="shared" si="15"/>
        <v>13.155926737540772</v>
      </c>
      <c r="AM331">
        <f t="shared" si="16"/>
        <v>6.0946210637336115E-2</v>
      </c>
      <c r="AN331">
        <f t="shared" si="17"/>
        <v>7.5335241826126234E-2</v>
      </c>
    </row>
    <row r="332" spans="1:40" x14ac:dyDescent="0.2">
      <c r="A332" t="s">
        <v>84</v>
      </c>
      <c r="B332">
        <v>2021</v>
      </c>
      <c r="C332">
        <v>104.3459669160538</v>
      </c>
      <c r="D332">
        <v>56.216680171477527</v>
      </c>
      <c r="E332">
        <v>5.2056785276605897</v>
      </c>
      <c r="F332">
        <v>2.6803047181109578</v>
      </c>
      <c r="G332">
        <v>5.3296232545096514</v>
      </c>
      <c r="H332">
        <v>2.9204476263810162</v>
      </c>
      <c r="I332">
        <v>0.2014101811297252</v>
      </c>
      <c r="J332">
        <v>0.42530380000000001</v>
      </c>
      <c r="K332">
        <v>0.35399999999999998</v>
      </c>
      <c r="L332">
        <v>12</v>
      </c>
      <c r="M332">
        <v>0.13747476153462379</v>
      </c>
      <c r="N332">
        <v>154</v>
      </c>
      <c r="O332">
        <v>5</v>
      </c>
      <c r="P332">
        <v>34.687737903319878</v>
      </c>
      <c r="Q332">
        <v>43.422896081802563</v>
      </c>
      <c r="R332">
        <v>18.2105221368722</v>
      </c>
      <c r="S332">
        <v>3.610499066678714</v>
      </c>
      <c r="T332">
        <v>6.8344811326639388E-2</v>
      </c>
      <c r="U332" t="s">
        <v>84</v>
      </c>
      <c r="V332">
        <v>868.21816190005586</v>
      </c>
      <c r="W332">
        <v>33.833529071385072</v>
      </c>
      <c r="AK332" t="s">
        <v>135</v>
      </c>
      <c r="AL332">
        <f t="shared" si="15"/>
        <v>13.178973319642404</v>
      </c>
      <c r="AM332">
        <f t="shared" si="16"/>
        <v>5.3006681514476614E-2</v>
      </c>
      <c r="AN332">
        <f t="shared" si="17"/>
        <v>4.9888641425389749E-2</v>
      </c>
    </row>
    <row r="333" spans="1:40" x14ac:dyDescent="0.2">
      <c r="A333" t="s">
        <v>84</v>
      </c>
      <c r="B333">
        <v>2018</v>
      </c>
      <c r="C333">
        <v>96.338766422234002</v>
      </c>
      <c r="D333">
        <v>55.87783622634992</v>
      </c>
      <c r="E333">
        <v>4.0325760050463524</v>
      </c>
      <c r="F333">
        <v>2.282873567102591</v>
      </c>
      <c r="G333">
        <v>5.1514844310275558</v>
      </c>
      <c r="H333">
        <v>1.734683532897034</v>
      </c>
      <c r="I333">
        <v>0.12766069289718429</v>
      </c>
      <c r="J333">
        <v>0.31242160000000002</v>
      </c>
      <c r="K333">
        <v>0.35099999999999998</v>
      </c>
      <c r="L333">
        <v>13.5</v>
      </c>
      <c r="M333">
        <v>0.1596441837879915</v>
      </c>
      <c r="N333">
        <v>160</v>
      </c>
      <c r="O333">
        <v>5</v>
      </c>
      <c r="P333">
        <v>30.110950205000002</v>
      </c>
      <c r="Q333">
        <v>47.458639132000002</v>
      </c>
      <c r="R333">
        <v>19.631839911</v>
      </c>
      <c r="S333">
        <v>2.581173937</v>
      </c>
      <c r="T333">
        <v>0.21739681500000069</v>
      </c>
      <c r="U333" t="s">
        <v>84</v>
      </c>
      <c r="V333">
        <v>2727.268730673301</v>
      </c>
      <c r="W333">
        <v>35.385341787673362</v>
      </c>
      <c r="AK333" t="s">
        <v>135</v>
      </c>
      <c r="AL333">
        <f t="shared" si="15"/>
        <v>13.086769535050001</v>
      </c>
      <c r="AM333">
        <f t="shared" si="16"/>
        <v>5.4797723906773711E-2</v>
      </c>
      <c r="AN333">
        <f t="shared" si="17"/>
        <v>4.1858289812144359E-2</v>
      </c>
    </row>
    <row r="334" spans="1:40" x14ac:dyDescent="0.2">
      <c r="A334" t="s">
        <v>84</v>
      </c>
      <c r="B334">
        <v>2020</v>
      </c>
      <c r="C334">
        <v>103.5568563140959</v>
      </c>
      <c r="D334">
        <v>55.99882962369491</v>
      </c>
      <c r="E334">
        <v>4.6033780062700922</v>
      </c>
      <c r="F334">
        <v>2.1829662758518742</v>
      </c>
      <c r="G334">
        <v>4.894440176383676</v>
      </c>
      <c r="H334">
        <v>2.5736023462674722</v>
      </c>
      <c r="I334">
        <v>0.1531906158492542</v>
      </c>
      <c r="J334">
        <v>0.3767799</v>
      </c>
      <c r="K334">
        <v>0.35499999999999998</v>
      </c>
      <c r="L334">
        <v>13</v>
      </c>
      <c r="M334">
        <v>0.14296650614211129</v>
      </c>
      <c r="N334">
        <v>160</v>
      </c>
      <c r="O334">
        <v>5</v>
      </c>
      <c r="P334">
        <v>35.489054504000002</v>
      </c>
      <c r="Q334">
        <v>47.086651998999997</v>
      </c>
      <c r="R334">
        <v>15.412450592000001</v>
      </c>
      <c r="S334">
        <v>1.905874187</v>
      </c>
      <c r="T334">
        <v>0.10596871800001401</v>
      </c>
      <c r="U334" t="s">
        <v>84</v>
      </c>
      <c r="V334">
        <v>2795.0553135311789</v>
      </c>
      <c r="W334">
        <v>34.959989249446402</v>
      </c>
      <c r="AK334" t="s">
        <v>135</v>
      </c>
      <c r="AL334">
        <f t="shared" si="15"/>
        <v>13.315759926140002</v>
      </c>
      <c r="AM334">
        <f t="shared" si="16"/>
        <v>4.8742603550295867E-2</v>
      </c>
      <c r="AN334">
        <f t="shared" si="17"/>
        <v>4.44526627218935E-2</v>
      </c>
    </row>
    <row r="335" spans="1:40" x14ac:dyDescent="0.2">
      <c r="A335" t="s">
        <v>84</v>
      </c>
      <c r="B335">
        <v>2017</v>
      </c>
      <c r="C335">
        <v>88.101162407586571</v>
      </c>
      <c r="D335">
        <v>55.981024594379832</v>
      </c>
      <c r="E335">
        <v>4.3756140395340823</v>
      </c>
      <c r="F335">
        <v>2.1840799209258712</v>
      </c>
      <c r="G335">
        <v>4.5396063885455824</v>
      </c>
      <c r="H335">
        <v>2.4375226421254599</v>
      </c>
      <c r="I335">
        <v>7.4541976823408504E-2</v>
      </c>
      <c r="J335">
        <v>0.28303650000000002</v>
      </c>
      <c r="K335">
        <v>0.35599999999999998</v>
      </c>
      <c r="L335">
        <v>14.2</v>
      </c>
      <c r="M335">
        <v>0.16715544280269951</v>
      </c>
      <c r="N335">
        <v>161</v>
      </c>
      <c r="O335">
        <v>4</v>
      </c>
      <c r="P335">
        <v>30.466217514</v>
      </c>
      <c r="Q335">
        <v>50.124625834</v>
      </c>
      <c r="R335">
        <v>16.737096391000001</v>
      </c>
      <c r="S335">
        <v>2.5106245980000002</v>
      </c>
      <c r="T335">
        <v>0.161435663000006</v>
      </c>
      <c r="U335" t="s">
        <v>84</v>
      </c>
      <c r="V335">
        <v>2896.2637528673122</v>
      </c>
      <c r="W335">
        <v>34.877178313530138</v>
      </c>
      <c r="AK335" t="s">
        <v>135</v>
      </c>
      <c r="AL335">
        <f t="shared" si="15"/>
        <v>13.159628228870002</v>
      </c>
      <c r="AM335">
        <f t="shared" si="16"/>
        <v>5.2373297233268487E-2</v>
      </c>
      <c r="AN335">
        <f t="shared" si="17"/>
        <v>4.9665792368220663E-2</v>
      </c>
    </row>
    <row r="336" spans="1:40" x14ac:dyDescent="0.2">
      <c r="A336" t="s">
        <v>84</v>
      </c>
      <c r="B336">
        <v>2019</v>
      </c>
      <c r="C336">
        <v>98.042413984339618</v>
      </c>
      <c r="D336">
        <v>56.368887712113548</v>
      </c>
      <c r="E336">
        <v>4.1043833448524127</v>
      </c>
      <c r="F336">
        <v>2.055985002689471</v>
      </c>
      <c r="G336">
        <v>4.4761297106523541</v>
      </c>
      <c r="H336">
        <v>2.427731368489412</v>
      </c>
      <c r="I336">
        <v>8.3453265791823494E-2</v>
      </c>
      <c r="J336">
        <v>0.34467209999999998</v>
      </c>
      <c r="K336">
        <v>0.35199999999999998</v>
      </c>
      <c r="L336">
        <v>13.6</v>
      </c>
      <c r="M336">
        <v>0.1512358868547935</v>
      </c>
      <c r="N336">
        <v>130</v>
      </c>
      <c r="O336">
        <v>5</v>
      </c>
      <c r="P336">
        <v>32.061855412487397</v>
      </c>
      <c r="Q336">
        <v>46.767515688527531</v>
      </c>
      <c r="R336">
        <v>18.52136669987669</v>
      </c>
      <c r="S336">
        <v>2.5638835546906691</v>
      </c>
      <c r="T336">
        <v>8.537864441768761E-2</v>
      </c>
      <c r="U336" t="s">
        <v>84</v>
      </c>
      <c r="V336">
        <v>2770.1319978070851</v>
      </c>
      <c r="W336">
        <v>33.904394807564167</v>
      </c>
      <c r="AK336" t="s">
        <v>135</v>
      </c>
      <c r="AL336">
        <f t="shared" si="15"/>
        <v>13.160570354066992</v>
      </c>
      <c r="AM336">
        <f t="shared" si="16"/>
        <v>4.650622920374526E-2</v>
      </c>
      <c r="AN336">
        <f t="shared" si="17"/>
        <v>4.1863344424669192E-2</v>
      </c>
    </row>
    <row r="337" spans="1:40" x14ac:dyDescent="0.2">
      <c r="A337" t="s">
        <v>84</v>
      </c>
      <c r="B337">
        <v>2016</v>
      </c>
      <c r="C337">
        <v>91.339605532129767</v>
      </c>
      <c r="D337">
        <v>59.990969101425591</v>
      </c>
      <c r="E337">
        <v>6.0502571730025068</v>
      </c>
      <c r="F337">
        <v>2.372649871765689</v>
      </c>
      <c r="G337">
        <v>4.2855988308767756</v>
      </c>
      <c r="H337">
        <v>2.9509832780085761</v>
      </c>
      <c r="I337">
        <v>0.13346155528681999</v>
      </c>
      <c r="J337">
        <v>0.26766430000000002</v>
      </c>
      <c r="K337">
        <v>0.35899999999999999</v>
      </c>
      <c r="L337">
        <v>14.8</v>
      </c>
      <c r="M337">
        <v>0.17494466109950871</v>
      </c>
      <c r="N337">
        <v>159</v>
      </c>
      <c r="O337">
        <v>4</v>
      </c>
      <c r="P337">
        <v>28.754987961000001</v>
      </c>
      <c r="Q337">
        <v>48.459382492000003</v>
      </c>
      <c r="R337">
        <v>18.503165988999999</v>
      </c>
      <c r="S337">
        <v>4.0565455320000003</v>
      </c>
      <c r="T337">
        <v>0.22591802600000219</v>
      </c>
      <c r="U337" t="s">
        <v>84</v>
      </c>
      <c r="AK337" t="s">
        <v>135</v>
      </c>
      <c r="AL337">
        <f t="shared" si="15"/>
        <v>13.02244199582</v>
      </c>
      <c r="AM337">
        <f t="shared" si="16"/>
        <v>4.8380550369348151E-2</v>
      </c>
      <c r="AN337">
        <f t="shared" si="17"/>
        <v>6.6239142787563918E-2</v>
      </c>
    </row>
    <row r="338" spans="1:40" x14ac:dyDescent="0.2">
      <c r="A338" t="s">
        <v>85</v>
      </c>
      <c r="B338">
        <v>2019</v>
      </c>
      <c r="C338">
        <v>164.51279301363559</v>
      </c>
      <c r="D338">
        <v>74.433123946683011</v>
      </c>
      <c r="E338">
        <v>10.590623563658649</v>
      </c>
      <c r="F338">
        <v>3.0986670752259839</v>
      </c>
      <c r="G338">
        <v>7.9554159644553391</v>
      </c>
      <c r="H338">
        <v>3.8532250651141409</v>
      </c>
      <c r="I338">
        <v>0.31024973188294769</v>
      </c>
      <c r="J338">
        <v>0.57955400000000001</v>
      </c>
      <c r="K338">
        <v>0.40100000000000002</v>
      </c>
      <c r="L338">
        <v>13.8</v>
      </c>
      <c r="M338">
        <v>0.15493376599752279</v>
      </c>
      <c r="N338">
        <v>255</v>
      </c>
      <c r="O338">
        <v>10</v>
      </c>
      <c r="P338">
        <v>26.317962743528209</v>
      </c>
      <c r="Q338">
        <v>49.255611020598408</v>
      </c>
      <c r="R338">
        <v>15.490714554317449</v>
      </c>
      <c r="S338">
        <v>8.507397657189566</v>
      </c>
      <c r="T338">
        <v>0.42831402436635813</v>
      </c>
      <c r="U338" t="s">
        <v>85</v>
      </c>
      <c r="V338">
        <v>2424.731765048728</v>
      </c>
      <c r="W338">
        <v>26.89241899806601</v>
      </c>
      <c r="X338">
        <v>3.75</v>
      </c>
      <c r="AA338">
        <v>-0.11</v>
      </c>
      <c r="AD338">
        <v>759.95</v>
      </c>
      <c r="AF338">
        <v>78.73</v>
      </c>
      <c r="AH338">
        <v>4.22</v>
      </c>
      <c r="AI338">
        <v>13.27</v>
      </c>
      <c r="AK338" t="s">
        <v>135</v>
      </c>
      <c r="AL338">
        <f t="shared" si="15"/>
        <v>12.837700795303657</v>
      </c>
      <c r="AM338">
        <f t="shared" si="16"/>
        <v>5.0243300505226907E-2</v>
      </c>
      <c r="AN338">
        <f t="shared" si="17"/>
        <v>6.4375683918884347E-2</v>
      </c>
    </row>
    <row r="339" spans="1:40" x14ac:dyDescent="0.2">
      <c r="A339" t="s">
        <v>85</v>
      </c>
      <c r="B339">
        <v>2018</v>
      </c>
      <c r="C339">
        <v>160.8998742719553</v>
      </c>
      <c r="D339">
        <v>77.773736791502643</v>
      </c>
      <c r="E339">
        <v>11.33382282638779</v>
      </c>
      <c r="F339">
        <v>3.3509688073982069</v>
      </c>
      <c r="G339">
        <v>7.8722987341038646</v>
      </c>
      <c r="H339">
        <v>3.953304497465234</v>
      </c>
      <c r="I339">
        <v>0.24017182578621959</v>
      </c>
      <c r="J339">
        <v>0.54786690000000005</v>
      </c>
      <c r="K339">
        <v>0.40300000000000002</v>
      </c>
      <c r="L339">
        <v>14.9</v>
      </c>
      <c r="M339">
        <v>0.1635510878767924</v>
      </c>
      <c r="N339">
        <v>259</v>
      </c>
      <c r="O339">
        <v>10</v>
      </c>
      <c r="P339">
        <v>25.074648826000001</v>
      </c>
      <c r="Q339">
        <v>51.190047767999999</v>
      </c>
      <c r="R339">
        <v>15.856469702</v>
      </c>
      <c r="S339">
        <v>7.5304564709999999</v>
      </c>
      <c r="T339">
        <v>0.34837723300000789</v>
      </c>
      <c r="U339" t="s">
        <v>85</v>
      </c>
      <c r="V339">
        <v>2367.576041048711</v>
      </c>
      <c r="W339">
        <v>28.338926949231329</v>
      </c>
      <c r="X339">
        <v>2.91</v>
      </c>
      <c r="AA339">
        <v>-1.69</v>
      </c>
      <c r="AD339">
        <v>762.74</v>
      </c>
      <c r="AF339">
        <v>74.81</v>
      </c>
      <c r="AH339">
        <v>3.95</v>
      </c>
      <c r="AI339">
        <v>12.73</v>
      </c>
      <c r="AK339" t="s">
        <v>135</v>
      </c>
      <c r="AL339">
        <f t="shared" si="15"/>
        <v>12.85179137267</v>
      </c>
      <c r="AM339">
        <f t="shared" si="16"/>
        <v>5.0419371653319438E-2</v>
      </c>
      <c r="AN339">
        <f t="shared" si="17"/>
        <v>7.0440221769416667E-2</v>
      </c>
    </row>
    <row r="340" spans="1:40" x14ac:dyDescent="0.2">
      <c r="A340" t="s">
        <v>85</v>
      </c>
      <c r="B340">
        <v>2022</v>
      </c>
      <c r="C340">
        <v>162.47358076691711</v>
      </c>
      <c r="D340">
        <v>59.038100325960968</v>
      </c>
      <c r="E340">
        <v>12.846766666046239</v>
      </c>
      <c r="F340">
        <v>2.8275559184824339</v>
      </c>
      <c r="G340">
        <v>7.3342206737107398</v>
      </c>
      <c r="H340">
        <v>3.5245444922260041</v>
      </c>
      <c r="I340">
        <v>0.28909185160954859</v>
      </c>
      <c r="J340">
        <v>0.79579540000000004</v>
      </c>
      <c r="K340">
        <v>0.379</v>
      </c>
      <c r="L340">
        <v>10.6</v>
      </c>
      <c r="M340">
        <v>0.1399402569907755</v>
      </c>
      <c r="N340">
        <v>266</v>
      </c>
      <c r="O340">
        <v>10</v>
      </c>
      <c r="P340">
        <v>25.77522735620515</v>
      </c>
      <c r="Q340">
        <v>51.621826629383783</v>
      </c>
      <c r="R340">
        <v>15.83249255049169</v>
      </c>
      <c r="S340">
        <v>6.6299603918303136</v>
      </c>
      <c r="T340">
        <v>0.1404930720890718</v>
      </c>
      <c r="U340" t="s">
        <v>85</v>
      </c>
      <c r="V340">
        <v>798.00475642199513</v>
      </c>
      <c r="W340">
        <v>32.509268443539398</v>
      </c>
      <c r="X340">
        <v>3.86</v>
      </c>
      <c r="AA340">
        <v>-1.1499999999999999</v>
      </c>
      <c r="AD340">
        <v>761.53</v>
      </c>
      <c r="AF340">
        <v>72.73</v>
      </c>
      <c r="AH340">
        <v>3.82</v>
      </c>
      <c r="AI340">
        <v>12.35</v>
      </c>
      <c r="AK340" t="s">
        <v>135</v>
      </c>
      <c r="AL340">
        <f t="shared" si="15"/>
        <v>12.92101190395304</v>
      </c>
      <c r="AM340">
        <f t="shared" si="16"/>
        <v>4.6920320764374683E-2</v>
      </c>
      <c r="AN340">
        <f t="shared" si="17"/>
        <v>7.9069880810198154E-2</v>
      </c>
    </row>
    <row r="341" spans="1:40" x14ac:dyDescent="0.2">
      <c r="A341" t="s">
        <v>85</v>
      </c>
      <c r="B341">
        <v>2021</v>
      </c>
      <c r="C341">
        <v>157.3861660374813</v>
      </c>
      <c r="D341">
        <v>63.816728900254773</v>
      </c>
      <c r="E341">
        <v>10.8480684971393</v>
      </c>
      <c r="F341">
        <v>2.7721118568458172</v>
      </c>
      <c r="G341">
        <v>7.1493346349981639</v>
      </c>
      <c r="H341">
        <v>4.0786876551074123</v>
      </c>
      <c r="I341">
        <v>0.30241220256499829</v>
      </c>
      <c r="J341">
        <v>0.69559230000000005</v>
      </c>
      <c r="K341">
        <v>0.38700000000000001</v>
      </c>
      <c r="L341">
        <v>12.7</v>
      </c>
      <c r="M341">
        <v>0.14368200928680411</v>
      </c>
      <c r="N341">
        <v>268</v>
      </c>
      <c r="O341">
        <v>10</v>
      </c>
      <c r="P341">
        <v>26.11205414060008</v>
      </c>
      <c r="Q341">
        <v>49.583481586626696</v>
      </c>
      <c r="R341">
        <v>16.347000243158181</v>
      </c>
      <c r="S341">
        <v>7.7401267099213742</v>
      </c>
      <c r="T341">
        <v>0.2173373196936694</v>
      </c>
      <c r="U341" t="s">
        <v>85</v>
      </c>
      <c r="V341">
        <v>778.19339495887255</v>
      </c>
      <c r="W341">
        <v>30.73570140852776</v>
      </c>
      <c r="X341">
        <v>3.64</v>
      </c>
      <c r="AA341">
        <v>-1.27</v>
      </c>
      <c r="AD341">
        <v>761.53</v>
      </c>
      <c r="AF341">
        <v>73.77</v>
      </c>
      <c r="AH341">
        <v>4</v>
      </c>
      <c r="AI341">
        <v>13.36</v>
      </c>
      <c r="AK341" t="s">
        <v>135</v>
      </c>
      <c r="AL341">
        <f t="shared" si="15"/>
        <v>12.866135650779551</v>
      </c>
      <c r="AM341">
        <f t="shared" si="16"/>
        <v>4.7346898556436902E-2</v>
      </c>
      <c r="AN341">
        <f t="shared" si="17"/>
        <v>6.8926442331379026E-2</v>
      </c>
    </row>
    <row r="342" spans="1:40" x14ac:dyDescent="0.2">
      <c r="A342" t="s">
        <v>85</v>
      </c>
      <c r="B342">
        <v>2016</v>
      </c>
      <c r="C342">
        <v>190.0843794566448</v>
      </c>
      <c r="D342">
        <v>96.731373146690601</v>
      </c>
      <c r="E342">
        <v>10.58681472770553</v>
      </c>
      <c r="F342">
        <v>4.8170196806949868</v>
      </c>
      <c r="G342">
        <v>6.8895907962658791</v>
      </c>
      <c r="H342">
        <v>3.571958644234817</v>
      </c>
      <c r="I342">
        <v>0.53522440896610968</v>
      </c>
      <c r="J342">
        <v>0.4383031</v>
      </c>
      <c r="K342">
        <v>0.41</v>
      </c>
      <c r="L342">
        <v>15.3</v>
      </c>
      <c r="M342">
        <v>0.1819148205523462</v>
      </c>
      <c r="N342">
        <v>293</v>
      </c>
      <c r="O342">
        <v>11</v>
      </c>
      <c r="P342">
        <v>24.090597380999998</v>
      </c>
      <c r="Q342">
        <v>51.626334929999999</v>
      </c>
      <c r="R342">
        <v>17.381807069000001</v>
      </c>
      <c r="S342">
        <v>6.4754457859999999</v>
      </c>
      <c r="T342">
        <v>0.42581483400000758</v>
      </c>
      <c r="U342" t="s">
        <v>85</v>
      </c>
      <c r="X342">
        <v>2.46</v>
      </c>
      <c r="AA342">
        <v>-1.89</v>
      </c>
      <c r="AD342">
        <v>762.47</v>
      </c>
      <c r="AF342">
        <v>77.17</v>
      </c>
      <c r="AH342">
        <v>3.67</v>
      </c>
      <c r="AI342">
        <v>12.03</v>
      </c>
      <c r="AK342" t="s">
        <v>135</v>
      </c>
      <c r="AL342">
        <f t="shared" si="15"/>
        <v>12.836834639739999</v>
      </c>
      <c r="AM342">
        <f t="shared" si="16"/>
        <v>3.9060627845674559E-2</v>
      </c>
      <c r="AN342">
        <f t="shared" si="17"/>
        <v>5.5695343078520629E-2</v>
      </c>
    </row>
    <row r="343" spans="1:40" x14ac:dyDescent="0.2">
      <c r="A343" t="s">
        <v>85</v>
      </c>
      <c r="B343">
        <v>2017</v>
      </c>
      <c r="C343">
        <v>167.1480952259738</v>
      </c>
      <c r="D343">
        <v>86.391193029740165</v>
      </c>
      <c r="E343">
        <v>10.6796975947315</v>
      </c>
      <c r="F343">
        <v>3.6358842398285471</v>
      </c>
      <c r="G343">
        <v>6.7246761802471564</v>
      </c>
      <c r="H343">
        <v>3.65108124814549</v>
      </c>
      <c r="I343">
        <v>0.16336783940713431</v>
      </c>
      <c r="J343">
        <v>0.47730289999999997</v>
      </c>
      <c r="K343">
        <v>0.40400000000000003</v>
      </c>
      <c r="L343">
        <v>15.1</v>
      </c>
      <c r="M343">
        <v>0.17280440262487701</v>
      </c>
      <c r="N343">
        <v>274</v>
      </c>
      <c r="O343">
        <v>10</v>
      </c>
      <c r="P343">
        <v>25.424587992999999</v>
      </c>
      <c r="Q343">
        <v>52.043478249000003</v>
      </c>
      <c r="R343">
        <v>15.277753300000001</v>
      </c>
      <c r="S343">
        <v>7.0199159340000001</v>
      </c>
      <c r="T343">
        <v>0.23426452399999681</v>
      </c>
      <c r="U343" t="s">
        <v>85</v>
      </c>
      <c r="V343">
        <v>2377.2228121633339</v>
      </c>
      <c r="W343">
        <v>28.819685736247671</v>
      </c>
      <c r="X343">
        <v>1.66</v>
      </c>
      <c r="AA343">
        <v>-2.2999999999999998</v>
      </c>
      <c r="AD343">
        <v>761.08</v>
      </c>
      <c r="AF343">
        <v>77.44</v>
      </c>
      <c r="AH343">
        <v>4.18</v>
      </c>
      <c r="AI343">
        <v>12.95</v>
      </c>
      <c r="AK343" t="s">
        <v>135</v>
      </c>
      <c r="AL343">
        <f t="shared" si="15"/>
        <v>12.901056249340002</v>
      </c>
      <c r="AM343">
        <f t="shared" si="16"/>
        <v>4.1209228321400157E-2</v>
      </c>
      <c r="AN343">
        <f t="shared" si="17"/>
        <v>6.3893624275485852E-2</v>
      </c>
    </row>
    <row r="344" spans="1:40" x14ac:dyDescent="0.2">
      <c r="A344" t="s">
        <v>85</v>
      </c>
      <c r="B344">
        <v>2020</v>
      </c>
      <c r="C344">
        <v>152.71269515169701</v>
      </c>
      <c r="D344">
        <v>67.449966528935164</v>
      </c>
      <c r="E344">
        <v>10.28754337773058</v>
      </c>
      <c r="F344">
        <v>3.377884474812062</v>
      </c>
      <c r="G344">
        <v>6.2825573432438464</v>
      </c>
      <c r="H344">
        <v>3.5548579211006208</v>
      </c>
      <c r="I344">
        <v>0.3654886390741981</v>
      </c>
      <c r="J344">
        <v>0.54057659999999996</v>
      </c>
      <c r="K344">
        <v>0.38500000000000001</v>
      </c>
      <c r="L344">
        <v>13.2</v>
      </c>
      <c r="M344">
        <v>0.1485870839298323</v>
      </c>
      <c r="N344">
        <v>266</v>
      </c>
      <c r="O344">
        <v>10</v>
      </c>
      <c r="P344">
        <v>26.513201129999999</v>
      </c>
      <c r="Q344">
        <v>51.055600699000003</v>
      </c>
      <c r="R344">
        <v>15.161082800999999</v>
      </c>
      <c r="S344">
        <v>6.9793766420000001</v>
      </c>
      <c r="T344">
        <v>0.290738728000008</v>
      </c>
      <c r="U344" t="s">
        <v>85</v>
      </c>
      <c r="V344">
        <v>2320.8031768168812</v>
      </c>
      <c r="W344">
        <v>31.893733633168811</v>
      </c>
      <c r="X344">
        <v>5</v>
      </c>
      <c r="AA344">
        <v>1</v>
      </c>
      <c r="AD344">
        <v>761.21</v>
      </c>
      <c r="AF344">
        <v>78.75</v>
      </c>
      <c r="AH344">
        <v>4.09</v>
      </c>
      <c r="AI344">
        <v>13.03</v>
      </c>
      <c r="AK344" t="s">
        <v>135</v>
      </c>
      <c r="AL344">
        <f t="shared" si="15"/>
        <v>12.921700815380001</v>
      </c>
      <c r="AM344">
        <f t="shared" si="16"/>
        <v>4.353302766161133E-2</v>
      </c>
      <c r="AN344">
        <f t="shared" si="17"/>
        <v>6.7365344888396211E-2</v>
      </c>
    </row>
    <row r="345" spans="1:40" x14ac:dyDescent="0.2">
      <c r="A345" t="s">
        <v>86</v>
      </c>
      <c r="B345">
        <v>2021</v>
      </c>
      <c r="C345">
        <v>186.90583456346749</v>
      </c>
      <c r="D345">
        <v>74.234068431669513</v>
      </c>
      <c r="E345">
        <v>8.7334198154905316</v>
      </c>
      <c r="F345">
        <v>3.8075580293144689</v>
      </c>
      <c r="G345">
        <v>8.0517870494034653</v>
      </c>
      <c r="H345">
        <v>4.1909764602384438</v>
      </c>
      <c r="I345">
        <v>0.72423481396750744</v>
      </c>
      <c r="J345">
        <v>0.73191519999999999</v>
      </c>
      <c r="K345">
        <v>0.375</v>
      </c>
      <c r="L345">
        <v>12.2</v>
      </c>
      <c r="M345">
        <v>0.1546087222324472</v>
      </c>
      <c r="N345">
        <v>206</v>
      </c>
      <c r="O345">
        <v>8</v>
      </c>
      <c r="P345">
        <v>29.293757728991459</v>
      </c>
      <c r="Q345">
        <v>47.08567798810887</v>
      </c>
      <c r="R345">
        <v>18.843249723011041</v>
      </c>
      <c r="S345">
        <v>4.4811071171468244</v>
      </c>
      <c r="T345">
        <v>0.29620744274180311</v>
      </c>
      <c r="U345" t="s">
        <v>86</v>
      </c>
      <c r="V345">
        <v>902.8379045411192</v>
      </c>
      <c r="W345">
        <v>28.491319048217921</v>
      </c>
      <c r="AK345" t="s">
        <v>133</v>
      </c>
      <c r="AL345">
        <f t="shared" si="15"/>
        <v>13.003107205586971</v>
      </c>
      <c r="AM345">
        <f t="shared" si="16"/>
        <v>4.6954242406974753E-2</v>
      </c>
      <c r="AN345">
        <f t="shared" si="17"/>
        <v>4.6726309191406919E-2</v>
      </c>
    </row>
    <row r="346" spans="1:40" x14ac:dyDescent="0.2">
      <c r="A346" t="s">
        <v>86</v>
      </c>
      <c r="B346">
        <v>2022</v>
      </c>
      <c r="C346">
        <v>182.43600163087049</v>
      </c>
      <c r="D346">
        <v>72.460817574313467</v>
      </c>
      <c r="E346">
        <v>9.6690429384769825</v>
      </c>
      <c r="F346">
        <v>3.936022532507474</v>
      </c>
      <c r="G346">
        <v>6.2324880928532149</v>
      </c>
      <c r="H346">
        <v>4.1260374133871451</v>
      </c>
      <c r="I346">
        <v>0.67862457457025416</v>
      </c>
      <c r="J346">
        <v>0.84070690000000003</v>
      </c>
      <c r="K346">
        <v>0.376</v>
      </c>
      <c r="L346">
        <v>10.3</v>
      </c>
      <c r="M346">
        <v>0.15017256065682169</v>
      </c>
      <c r="N346">
        <v>217</v>
      </c>
      <c r="O346">
        <v>8</v>
      </c>
      <c r="P346">
        <v>29.414878713453</v>
      </c>
      <c r="Q346">
        <v>48.156878377822231</v>
      </c>
      <c r="R346">
        <v>17.949081961577001</v>
      </c>
      <c r="S346">
        <v>4.3402614918611357</v>
      </c>
      <c r="T346">
        <v>0.13889945528663361</v>
      </c>
      <c r="U346" t="s">
        <v>86</v>
      </c>
      <c r="V346">
        <v>925.32440240076926</v>
      </c>
      <c r="W346">
        <v>27.407422632185469</v>
      </c>
      <c r="AK346" t="s">
        <v>133</v>
      </c>
      <c r="AL346">
        <f t="shared" si="15"/>
        <v>13.04320452438728</v>
      </c>
      <c r="AM346">
        <f t="shared" si="16"/>
        <v>3.7882394952981804E-2</v>
      </c>
      <c r="AN346">
        <f t="shared" si="17"/>
        <v>5.2999642899654829E-2</v>
      </c>
    </row>
    <row r="347" spans="1:40" x14ac:dyDescent="0.2">
      <c r="A347" t="s">
        <v>86</v>
      </c>
      <c r="B347">
        <v>2016</v>
      </c>
      <c r="C347">
        <v>203.07847349518511</v>
      </c>
      <c r="D347">
        <v>93.524754692567356</v>
      </c>
      <c r="E347">
        <v>8.2322105455239178</v>
      </c>
      <c r="F347">
        <v>4.4841701019384059</v>
      </c>
      <c r="G347">
        <v>6.1793419208214804</v>
      </c>
      <c r="H347">
        <v>3.0844869487321982</v>
      </c>
      <c r="I347">
        <v>0.24883256056999239</v>
      </c>
      <c r="J347">
        <v>0.44962619999999998</v>
      </c>
      <c r="K347">
        <v>0.375</v>
      </c>
      <c r="L347">
        <v>16.3</v>
      </c>
      <c r="M347">
        <v>0.1897717576625032</v>
      </c>
      <c r="N347">
        <v>217</v>
      </c>
      <c r="O347">
        <v>8</v>
      </c>
      <c r="P347">
        <v>30.930004024999999</v>
      </c>
      <c r="Q347">
        <v>44.899442168999997</v>
      </c>
      <c r="R347">
        <v>19.649913484999999</v>
      </c>
      <c r="S347">
        <v>4.2094281740000001</v>
      </c>
      <c r="T347">
        <v>0.31121214700000621</v>
      </c>
      <c r="U347" t="s">
        <v>86</v>
      </c>
      <c r="AK347" t="s">
        <v>133</v>
      </c>
      <c r="AL347">
        <f t="shared" si="15"/>
        <v>13.029215590609997</v>
      </c>
      <c r="AM347">
        <f t="shared" si="16"/>
        <v>3.1653647827640782E-2</v>
      </c>
      <c r="AN347">
        <f t="shared" si="17"/>
        <v>4.0537090927656103E-2</v>
      </c>
    </row>
    <row r="348" spans="1:40" x14ac:dyDescent="0.2">
      <c r="A348" t="s">
        <v>86</v>
      </c>
      <c r="B348">
        <v>2017</v>
      </c>
      <c r="C348">
        <v>190.41493076860681</v>
      </c>
      <c r="D348">
        <v>88.174608291959501</v>
      </c>
      <c r="E348">
        <v>9.9421979745371551</v>
      </c>
      <c r="F348">
        <v>3.7127245574369931</v>
      </c>
      <c r="G348">
        <v>6.1254755303372237</v>
      </c>
      <c r="H348">
        <v>3.7335241347895809</v>
      </c>
      <c r="I348">
        <v>0.20799577352588189</v>
      </c>
      <c r="J348">
        <v>0.47586729999999999</v>
      </c>
      <c r="K348">
        <v>0.378</v>
      </c>
      <c r="L348">
        <v>14.9</v>
      </c>
      <c r="M348">
        <v>0.1804208864536202</v>
      </c>
      <c r="N348">
        <v>220</v>
      </c>
      <c r="O348">
        <v>8</v>
      </c>
      <c r="P348">
        <v>32.735651807000004</v>
      </c>
      <c r="Q348">
        <v>44.670208598999999</v>
      </c>
      <c r="R348">
        <v>17.529527622</v>
      </c>
      <c r="S348">
        <v>4.5503197230000003</v>
      </c>
      <c r="T348">
        <v>0.51429224899999326</v>
      </c>
      <c r="U348" t="s">
        <v>86</v>
      </c>
      <c r="V348">
        <v>2412.0617124139121</v>
      </c>
      <c r="W348">
        <v>30.015724564805758</v>
      </c>
      <c r="AK348" t="s">
        <v>133</v>
      </c>
      <c r="AL348">
        <f t="shared" si="15"/>
        <v>13.075823392370001</v>
      </c>
      <c r="AM348">
        <f t="shared" si="16"/>
        <v>3.3261421666348066E-2</v>
      </c>
      <c r="AN348">
        <f t="shared" si="17"/>
        <v>5.2213331876894489E-2</v>
      </c>
    </row>
    <row r="349" spans="1:40" x14ac:dyDescent="0.2">
      <c r="A349" t="s">
        <v>86</v>
      </c>
      <c r="B349">
        <v>2019</v>
      </c>
      <c r="C349">
        <v>163.37155584800271</v>
      </c>
      <c r="D349">
        <v>75.287036754789725</v>
      </c>
      <c r="E349">
        <v>7.2527825983671779</v>
      </c>
      <c r="F349">
        <v>3.2427296110090928</v>
      </c>
      <c r="G349">
        <v>5.6918576478490248</v>
      </c>
      <c r="H349">
        <v>2.8380453645784609</v>
      </c>
      <c r="I349">
        <v>0.20496994299733329</v>
      </c>
      <c r="J349">
        <v>0.56819809999999993</v>
      </c>
      <c r="K349">
        <v>0.38700000000000001</v>
      </c>
      <c r="L349">
        <v>13.5</v>
      </c>
      <c r="M349">
        <v>0.16511465780258869</v>
      </c>
      <c r="N349">
        <v>168</v>
      </c>
      <c r="O349">
        <v>8</v>
      </c>
      <c r="P349">
        <v>28.284450596132601</v>
      </c>
      <c r="Q349">
        <v>47.327590886418008</v>
      </c>
      <c r="R349">
        <v>19.140974753217041</v>
      </c>
      <c r="S349">
        <v>4.916825681430935</v>
      </c>
      <c r="T349">
        <v>0.33015808280141812</v>
      </c>
      <c r="U349" t="s">
        <v>86</v>
      </c>
      <c r="V349">
        <v>2481.2747222379521</v>
      </c>
      <c r="W349">
        <v>30.817425456048781</v>
      </c>
      <c r="AK349" t="s">
        <v>133</v>
      </c>
      <c r="AL349">
        <f t="shared" si="15"/>
        <v>12.956482262148945</v>
      </c>
      <c r="AM349">
        <f t="shared" si="16"/>
        <v>3.6094579379121763E-2</v>
      </c>
      <c r="AN349">
        <f t="shared" si="17"/>
        <v>4.4394402444909116E-2</v>
      </c>
    </row>
    <row r="350" spans="1:40" x14ac:dyDescent="0.2">
      <c r="A350" t="s">
        <v>86</v>
      </c>
      <c r="B350">
        <v>2020</v>
      </c>
      <c r="C350">
        <v>170.56039766481629</v>
      </c>
      <c r="D350">
        <v>72.283513409161401</v>
      </c>
      <c r="E350">
        <v>8.1545761624754469</v>
      </c>
      <c r="F350">
        <v>3.1173056352024511</v>
      </c>
      <c r="G350">
        <v>5.2429810514234108</v>
      </c>
      <c r="H350">
        <v>2.937968255173883</v>
      </c>
      <c r="I350">
        <v>0.36394938888150441</v>
      </c>
      <c r="J350">
        <v>0.59192339999999999</v>
      </c>
      <c r="K350">
        <v>0.371</v>
      </c>
      <c r="L350">
        <v>12.9</v>
      </c>
      <c r="M350">
        <v>0.15989161046231709</v>
      </c>
      <c r="N350">
        <v>200</v>
      </c>
      <c r="O350">
        <v>8</v>
      </c>
      <c r="P350">
        <v>30.195103946</v>
      </c>
      <c r="Q350">
        <v>46.472212710999997</v>
      </c>
      <c r="R350">
        <v>18.387122421000001</v>
      </c>
      <c r="S350">
        <v>4.6338670720000001</v>
      </c>
      <c r="T350">
        <v>0.3116938499999975</v>
      </c>
      <c r="U350" t="s">
        <v>86</v>
      </c>
      <c r="V350">
        <v>2399.2679276321551</v>
      </c>
      <c r="W350">
        <v>30.76660402860222</v>
      </c>
      <c r="AK350" t="s">
        <v>133</v>
      </c>
      <c r="AL350">
        <f t="shared" si="15"/>
        <v>13.022752501119999</v>
      </c>
      <c r="AM350">
        <f t="shared" si="16"/>
        <v>3.2873577436912424E-2</v>
      </c>
      <c r="AN350">
        <f t="shared" si="17"/>
        <v>4.781048985650669E-2</v>
      </c>
    </row>
    <row r="351" spans="1:40" x14ac:dyDescent="0.2">
      <c r="A351" t="s">
        <v>86</v>
      </c>
      <c r="B351">
        <v>2018</v>
      </c>
      <c r="C351">
        <v>171.5858083246691</v>
      </c>
      <c r="D351">
        <v>82.748007487570817</v>
      </c>
      <c r="E351">
        <v>8.2957099104721976</v>
      </c>
      <c r="F351">
        <v>3.4918300064243399</v>
      </c>
      <c r="G351">
        <v>4.9397894551961103</v>
      </c>
      <c r="H351">
        <v>2.9481918018313289</v>
      </c>
      <c r="I351">
        <v>0.1829551650072633</v>
      </c>
      <c r="J351">
        <v>0.51020159999999992</v>
      </c>
      <c r="K351">
        <v>0.38800000000000001</v>
      </c>
      <c r="L351">
        <v>13.9</v>
      </c>
      <c r="M351">
        <v>0.1725475860383385</v>
      </c>
      <c r="N351">
        <v>214</v>
      </c>
      <c r="O351">
        <v>8</v>
      </c>
      <c r="P351">
        <v>32.075655455000003</v>
      </c>
      <c r="Q351">
        <v>44.781205481999997</v>
      </c>
      <c r="R351">
        <v>18.225963148000002</v>
      </c>
      <c r="S351">
        <v>4.480586497</v>
      </c>
      <c r="T351">
        <v>0.43658941799999701</v>
      </c>
      <c r="U351" t="s">
        <v>86</v>
      </c>
      <c r="V351">
        <v>2450.8716900339059</v>
      </c>
      <c r="W351">
        <v>27.31684023020502</v>
      </c>
      <c r="AK351" t="s">
        <v>133</v>
      </c>
      <c r="AL351">
        <f t="shared" si="15"/>
        <v>13.058477338639999</v>
      </c>
      <c r="AM351">
        <f t="shared" si="16"/>
        <v>2.9855293221629862E-2</v>
      </c>
      <c r="AN351">
        <f t="shared" si="17"/>
        <v>4.8347296268088348E-2</v>
      </c>
    </row>
    <row r="352" spans="1:40" x14ac:dyDescent="0.2">
      <c r="A352" t="s">
        <v>87</v>
      </c>
      <c r="B352">
        <v>2018</v>
      </c>
      <c r="C352">
        <v>125.097007914589</v>
      </c>
      <c r="D352">
        <v>66.420965648986879</v>
      </c>
      <c r="E352">
        <v>8.6246712727752595</v>
      </c>
      <c r="F352">
        <v>2.5606947494760788</v>
      </c>
      <c r="G352">
        <v>9.2687724060790604</v>
      </c>
      <c r="H352">
        <v>2.7492121543454831</v>
      </c>
      <c r="I352">
        <v>0.1413880536520534</v>
      </c>
      <c r="J352">
        <v>0.29074040000000001</v>
      </c>
      <c r="K352">
        <v>0.35399999999999998</v>
      </c>
      <c r="L352">
        <v>16.7</v>
      </c>
      <c r="M352">
        <v>0.15359489657641071</v>
      </c>
      <c r="N352">
        <v>84</v>
      </c>
      <c r="O352">
        <v>3</v>
      </c>
      <c r="P352">
        <v>25.546050279999999</v>
      </c>
      <c r="Q352">
        <v>51.895344131999998</v>
      </c>
      <c r="R352">
        <v>16.645005896000001</v>
      </c>
      <c r="S352">
        <v>5.1785548720000003</v>
      </c>
      <c r="T352">
        <v>0.73504481999999882</v>
      </c>
      <c r="U352" t="s">
        <v>87</v>
      </c>
      <c r="V352">
        <v>2360.7513602986478</v>
      </c>
      <c r="W352">
        <v>34.799964838426973</v>
      </c>
      <c r="AK352" t="s">
        <v>134</v>
      </c>
      <c r="AL352">
        <f t="shared" si="15"/>
        <v>12.904724658999999</v>
      </c>
      <c r="AM352">
        <f t="shared" si="16"/>
        <v>7.5222905939972412E-2</v>
      </c>
      <c r="AN352">
        <f t="shared" si="17"/>
        <v>6.8943865377370364E-2</v>
      </c>
    </row>
    <row r="353" spans="1:40" x14ac:dyDescent="0.2">
      <c r="A353" t="s">
        <v>87</v>
      </c>
      <c r="B353">
        <v>2020</v>
      </c>
      <c r="C353">
        <v>144.23867819809459</v>
      </c>
      <c r="D353">
        <v>68.821222938278112</v>
      </c>
      <c r="E353">
        <v>19.597038882633381</v>
      </c>
      <c r="F353">
        <v>2.7470991750716718</v>
      </c>
      <c r="G353">
        <v>7.1871780743154208</v>
      </c>
      <c r="H353">
        <v>2.9547287638852291</v>
      </c>
      <c r="I353">
        <v>0.20762958881355659</v>
      </c>
      <c r="J353">
        <v>0.33140550000000002</v>
      </c>
      <c r="K353">
        <v>0.35599999999999998</v>
      </c>
      <c r="L353">
        <v>15.8</v>
      </c>
      <c r="M353">
        <v>0.14110809067829119</v>
      </c>
      <c r="N353">
        <v>83</v>
      </c>
      <c r="O353">
        <v>3</v>
      </c>
      <c r="P353">
        <v>26.537506805</v>
      </c>
      <c r="Q353">
        <v>52.757471156999998</v>
      </c>
      <c r="R353">
        <v>15.303284230999999</v>
      </c>
      <c r="S353">
        <v>4.7459442489999999</v>
      </c>
      <c r="T353">
        <v>0.65579355800001338</v>
      </c>
      <c r="U353" t="s">
        <v>87</v>
      </c>
      <c r="V353">
        <v>2389.646938561179</v>
      </c>
      <c r="W353">
        <v>36.950095209868479</v>
      </c>
      <c r="AK353" t="s">
        <v>134</v>
      </c>
      <c r="AL353">
        <f t="shared" si="15"/>
        <v>12.975825261299999</v>
      </c>
      <c r="AM353">
        <f t="shared" si="16"/>
        <v>5.1267855165540915E-2</v>
      </c>
      <c r="AN353">
        <f t="shared" si="17"/>
        <v>0.13586535267412247</v>
      </c>
    </row>
    <row r="354" spans="1:40" x14ac:dyDescent="0.2">
      <c r="A354" t="s">
        <v>87</v>
      </c>
      <c r="B354">
        <v>2017</v>
      </c>
      <c r="C354">
        <v>128.93902492198251</v>
      </c>
      <c r="D354">
        <v>67.319251779919156</v>
      </c>
      <c r="E354">
        <v>5.185591219688428</v>
      </c>
      <c r="F354">
        <v>2.8653116649329449</v>
      </c>
      <c r="G354">
        <v>7.1165621243171531</v>
      </c>
      <c r="H354">
        <v>2.725160550887312</v>
      </c>
      <c r="I354">
        <v>6.2289384020281398E-2</v>
      </c>
      <c r="J354">
        <v>0.26355840000000003</v>
      </c>
      <c r="K354">
        <v>0.35199999999999998</v>
      </c>
      <c r="L354">
        <v>17.399999999999999</v>
      </c>
      <c r="M354">
        <v>0.16152230697392181</v>
      </c>
      <c r="N354">
        <v>87</v>
      </c>
      <c r="O354">
        <v>3</v>
      </c>
      <c r="P354">
        <v>24.159082361999999</v>
      </c>
      <c r="Q354">
        <v>52.610404127999999</v>
      </c>
      <c r="R354">
        <v>17.393325580999999</v>
      </c>
      <c r="S354">
        <v>5.4182178820000004</v>
      </c>
      <c r="T354">
        <v>0.41897004700001622</v>
      </c>
      <c r="U354" t="s">
        <v>87</v>
      </c>
      <c r="V354">
        <v>2349.3196690278728</v>
      </c>
      <c r="W354">
        <v>34.562333351702613</v>
      </c>
      <c r="AK354" t="s">
        <v>134</v>
      </c>
      <c r="AL354">
        <f t="shared" si="15"/>
        <v>12.880879116110002</v>
      </c>
      <c r="AM354">
        <f t="shared" si="16"/>
        <v>5.5676328502415474E-2</v>
      </c>
      <c r="AN354">
        <f t="shared" si="17"/>
        <v>4.0217391304347837E-2</v>
      </c>
    </row>
    <row r="355" spans="1:40" x14ac:dyDescent="0.2">
      <c r="A355" t="s">
        <v>87</v>
      </c>
      <c r="B355">
        <v>2016</v>
      </c>
      <c r="C355">
        <v>146.94279163456449</v>
      </c>
      <c r="D355">
        <v>70.160619084307228</v>
      </c>
      <c r="E355">
        <v>4.3937410848827456</v>
      </c>
      <c r="F355">
        <v>2.1968705424413728</v>
      </c>
      <c r="G355">
        <v>6.9000300135834669</v>
      </c>
      <c r="H355">
        <v>2.7538236377082002</v>
      </c>
      <c r="I355">
        <v>0.29394746694638091</v>
      </c>
      <c r="J355">
        <v>0.25043399999999999</v>
      </c>
      <c r="K355">
        <v>0.34499999999999997</v>
      </c>
      <c r="L355">
        <v>18.7</v>
      </c>
      <c r="M355">
        <v>0.16880959203774429</v>
      </c>
      <c r="N355">
        <v>80</v>
      </c>
      <c r="O355">
        <v>3</v>
      </c>
      <c r="P355">
        <v>26.591925493000002</v>
      </c>
      <c r="Q355">
        <v>48.801826724999998</v>
      </c>
      <c r="R355">
        <v>18.56306142</v>
      </c>
      <c r="S355">
        <v>5.6846445550000002</v>
      </c>
      <c r="T355">
        <v>0.35854180699999461</v>
      </c>
      <c r="U355" t="s">
        <v>87</v>
      </c>
      <c r="AK355" t="s">
        <v>134</v>
      </c>
      <c r="AL355">
        <f t="shared" si="15"/>
        <v>12.900922736630001</v>
      </c>
      <c r="AM355">
        <f t="shared" si="16"/>
        <v>4.8957675300063182E-2</v>
      </c>
      <c r="AN355">
        <f t="shared" si="17"/>
        <v>2.9901031796167616E-2</v>
      </c>
    </row>
    <row r="356" spans="1:40" x14ac:dyDescent="0.2">
      <c r="A356" t="s">
        <v>87</v>
      </c>
      <c r="B356">
        <v>2019</v>
      </c>
      <c r="C356">
        <v>130.32616481193551</v>
      </c>
      <c r="D356">
        <v>68.450617881969535</v>
      </c>
      <c r="E356">
        <v>15.2465413379793</v>
      </c>
      <c r="F356">
        <v>2.6046174785714622</v>
      </c>
      <c r="G356">
        <v>6.0668529074042601</v>
      </c>
      <c r="H356">
        <v>2.3028630145906219</v>
      </c>
      <c r="I356">
        <v>0.1429363250435558</v>
      </c>
      <c r="J356">
        <v>0.31972630000000002</v>
      </c>
      <c r="K356">
        <v>0.35499999999999998</v>
      </c>
      <c r="L356">
        <v>15.9</v>
      </c>
      <c r="M356">
        <v>0.1462153381724661</v>
      </c>
      <c r="N356">
        <v>58</v>
      </c>
      <c r="O356">
        <v>3</v>
      </c>
      <c r="P356">
        <v>26.60647885319872</v>
      </c>
      <c r="Q356">
        <v>51.517103123478748</v>
      </c>
      <c r="R356">
        <v>16.072154719075609</v>
      </c>
      <c r="S356">
        <v>5.3723038503043146</v>
      </c>
      <c r="T356">
        <v>0.43195945394261059</v>
      </c>
      <c r="U356" t="s">
        <v>87</v>
      </c>
      <c r="V356">
        <v>2343.3147799169819</v>
      </c>
      <c r="W356">
        <v>34.785143531341468</v>
      </c>
      <c r="AK356" t="s">
        <v>134</v>
      </c>
      <c r="AL356">
        <f t="shared" si="15"/>
        <v>12.956917977815456</v>
      </c>
      <c r="AM356">
        <f t="shared" si="16"/>
        <v>4.7648062393370702E-2</v>
      </c>
      <c r="AN356">
        <f t="shared" si="17"/>
        <v>0.11698757007068003</v>
      </c>
    </row>
    <row r="357" spans="1:40" x14ac:dyDescent="0.2">
      <c r="A357" t="s">
        <v>87</v>
      </c>
      <c r="B357">
        <v>2021</v>
      </c>
      <c r="C357">
        <v>135.05866192448519</v>
      </c>
      <c r="D357">
        <v>63.055321330626903</v>
      </c>
      <c r="E357">
        <v>13.17212925776583</v>
      </c>
      <c r="F357">
        <v>2.6279768286607479</v>
      </c>
      <c r="G357">
        <v>5.3204438862456849</v>
      </c>
      <c r="H357">
        <v>3.0955309883611259</v>
      </c>
      <c r="I357">
        <v>0.2579609156967605</v>
      </c>
      <c r="J357">
        <v>0.37893909999999997</v>
      </c>
      <c r="K357">
        <v>0.36099999999999999</v>
      </c>
      <c r="L357">
        <v>14.2</v>
      </c>
      <c r="M357">
        <v>0.13674066704457369</v>
      </c>
      <c r="N357">
        <v>84</v>
      </c>
      <c r="O357">
        <v>3</v>
      </c>
      <c r="P357">
        <v>27.249785382542338</v>
      </c>
      <c r="Q357">
        <v>49.893027881192687</v>
      </c>
      <c r="R357">
        <v>16.10159715192335</v>
      </c>
      <c r="S357">
        <v>6.5379623371780653</v>
      </c>
      <c r="T357">
        <v>0.21762724716356269</v>
      </c>
      <c r="U357" t="s">
        <v>87</v>
      </c>
      <c r="V357">
        <v>918.62471428456274</v>
      </c>
      <c r="W357">
        <v>39.50184588294168</v>
      </c>
      <c r="AK357" t="s">
        <v>134</v>
      </c>
      <c r="AL357">
        <f t="shared" si="15"/>
        <v>12.941858818880535</v>
      </c>
      <c r="AM357">
        <f t="shared" si="16"/>
        <v>4.1303569296884321E-2</v>
      </c>
      <c r="AN357">
        <f t="shared" si="17"/>
        <v>9.7528948310851099E-2</v>
      </c>
    </row>
    <row r="358" spans="1:40" x14ac:dyDescent="0.2">
      <c r="A358" t="s">
        <v>87</v>
      </c>
      <c r="B358">
        <v>2022</v>
      </c>
      <c r="C358">
        <v>145.98784719022819</v>
      </c>
      <c r="D358">
        <v>62.757685973673937</v>
      </c>
      <c r="E358">
        <v>9.5326009927977768</v>
      </c>
      <c r="F358">
        <v>2.0103903675496189</v>
      </c>
      <c r="G358">
        <v>4.7244173637416047</v>
      </c>
      <c r="H358">
        <v>2.3622086818708019</v>
      </c>
      <c r="I358">
        <v>0.13402602450330789</v>
      </c>
      <c r="J358">
        <v>0.43517220000000001</v>
      </c>
      <c r="K358">
        <v>0.35799999999999998</v>
      </c>
      <c r="L358">
        <v>13.1</v>
      </c>
      <c r="M358">
        <v>0.1339757647441191</v>
      </c>
      <c r="N358">
        <v>82</v>
      </c>
      <c r="O358">
        <v>3</v>
      </c>
      <c r="P358">
        <v>23.547088753433979</v>
      </c>
      <c r="Q358">
        <v>51.2453195111284</v>
      </c>
      <c r="R358">
        <v>15.389497717438671</v>
      </c>
      <c r="S358">
        <v>9.5946458660720282</v>
      </c>
      <c r="T358">
        <v>0.22344815192691669</v>
      </c>
      <c r="U358" t="s">
        <v>87</v>
      </c>
      <c r="V358">
        <v>937.24527623418066</v>
      </c>
      <c r="W358">
        <v>39.207077100066833</v>
      </c>
      <c r="AK358" t="s">
        <v>134</v>
      </c>
      <c r="AL358">
        <f t="shared" si="15"/>
        <v>12.759255652403601</v>
      </c>
      <c r="AM358">
        <f t="shared" si="16"/>
        <v>3.3279779664907042E-2</v>
      </c>
      <c r="AN358">
        <f t="shared" si="17"/>
        <v>6.5297222859765885E-2</v>
      </c>
    </row>
    <row r="359" spans="1:40" x14ac:dyDescent="0.2">
      <c r="A359" t="s">
        <v>88</v>
      </c>
      <c r="B359">
        <v>2022</v>
      </c>
      <c r="C359">
        <v>136.5591669723843</v>
      </c>
      <c r="D359">
        <v>48.767723471622652</v>
      </c>
      <c r="E359">
        <v>8.2245590868258684</v>
      </c>
      <c r="F359">
        <v>2.0823782142688469</v>
      </c>
      <c r="G359">
        <v>8.3700631773990644</v>
      </c>
      <c r="H359">
        <v>3.933381071396711</v>
      </c>
      <c r="I359">
        <v>0.18366909793665651</v>
      </c>
      <c r="J359">
        <v>0.55662929999999999</v>
      </c>
      <c r="K359">
        <v>0.38900000000000001</v>
      </c>
      <c r="L359">
        <v>10.199999999999999</v>
      </c>
      <c r="M359">
        <v>0.14681792095168261</v>
      </c>
      <c r="N359">
        <v>485</v>
      </c>
      <c r="O359">
        <v>12</v>
      </c>
      <c r="P359">
        <v>33.896790165905927</v>
      </c>
      <c r="Q359">
        <v>44.979645304254568</v>
      </c>
      <c r="R359">
        <v>17.33171204050069</v>
      </c>
      <c r="S359">
        <v>3.71388513184155</v>
      </c>
      <c r="T359">
        <v>7.7967357497257694E-2</v>
      </c>
      <c r="U359" t="s">
        <v>88</v>
      </c>
      <c r="V359">
        <v>986.93983212034982</v>
      </c>
      <c r="W359">
        <v>32.936295901570404</v>
      </c>
      <c r="AK359" t="s">
        <v>131</v>
      </c>
      <c r="AL359">
        <f t="shared" ref="AL359:AL421" si="18">(15*P359+13*Q359+11*R359+9*S359+4*T359)/100</f>
        <v>13.175729095059689</v>
      </c>
      <c r="AM359">
        <f t="shared" ref="AM359:AM421" si="19">(G359+I359)/C359</f>
        <v>6.2637554585152827E-2</v>
      </c>
      <c r="AN359">
        <f t="shared" ref="AN359:AN421" si="20">E359/C359</f>
        <v>6.0227074235807844E-2</v>
      </c>
    </row>
    <row r="360" spans="1:40" x14ac:dyDescent="0.2">
      <c r="A360" t="s">
        <v>88</v>
      </c>
      <c r="B360">
        <v>2021</v>
      </c>
      <c r="C360">
        <v>139.99329424993891</v>
      </c>
      <c r="D360">
        <v>53.961677738488177</v>
      </c>
      <c r="E360">
        <v>7.4805942193756003</v>
      </c>
      <c r="F360">
        <v>1.9729828104171581</v>
      </c>
      <c r="G360">
        <v>8.1215146959717188</v>
      </c>
      <c r="H360">
        <v>5.603271181584728</v>
      </c>
      <c r="I360">
        <v>7.1744829469714805E-2</v>
      </c>
      <c r="J360">
        <v>0.48590230000000001</v>
      </c>
      <c r="K360">
        <v>0.39400000000000002</v>
      </c>
      <c r="L360">
        <v>12</v>
      </c>
      <c r="M360">
        <v>0.15258102170808319</v>
      </c>
      <c r="N360">
        <v>508</v>
      </c>
      <c r="O360">
        <v>12</v>
      </c>
      <c r="P360">
        <v>32.335904093349271</v>
      </c>
      <c r="Q360">
        <v>45.305748703899532</v>
      </c>
      <c r="R360">
        <v>16.63638676789509</v>
      </c>
      <c r="S360">
        <v>5.4618661757325997</v>
      </c>
      <c r="T360">
        <v>0.26009425912350542</v>
      </c>
      <c r="U360" t="s">
        <v>88</v>
      </c>
      <c r="V360">
        <v>959.4452125680092</v>
      </c>
      <c r="W360">
        <v>31.557745840970409</v>
      </c>
      <c r="AK360" t="s">
        <v>131</v>
      </c>
      <c r="AL360">
        <f t="shared" si="18"/>
        <v>13.072107216158663</v>
      </c>
      <c r="AM360">
        <f t="shared" si="19"/>
        <v>5.8526085619597518E-2</v>
      </c>
      <c r="AN360">
        <f t="shared" si="20"/>
        <v>5.3435375311763296E-2</v>
      </c>
    </row>
    <row r="361" spans="1:40" x14ac:dyDescent="0.2">
      <c r="A361" t="s">
        <v>88</v>
      </c>
      <c r="B361">
        <v>2016</v>
      </c>
      <c r="C361">
        <v>136.1921624173749</v>
      </c>
      <c r="D361">
        <v>60.479225684608132</v>
      </c>
      <c r="E361">
        <v>4.4546742209631729</v>
      </c>
      <c r="F361">
        <v>2.8068932955618502</v>
      </c>
      <c r="G361">
        <v>6.9877242681775273</v>
      </c>
      <c r="H361">
        <v>3.0618508026440039</v>
      </c>
      <c r="I361">
        <v>0.30925401322001889</v>
      </c>
      <c r="J361">
        <v>0.32331070000000001</v>
      </c>
      <c r="K361">
        <v>0.38800000000000001</v>
      </c>
      <c r="L361">
        <v>14.2</v>
      </c>
      <c r="M361">
        <v>0.1891999398168174</v>
      </c>
      <c r="N361">
        <v>497</v>
      </c>
      <c r="O361">
        <v>14</v>
      </c>
      <c r="P361">
        <v>28.394050979999999</v>
      </c>
      <c r="Q361">
        <v>45.379633425000002</v>
      </c>
      <c r="R361">
        <v>21.682919717000001</v>
      </c>
      <c r="S361">
        <v>4.2432766370000001</v>
      </c>
      <c r="T361">
        <v>0.30011924100000442</v>
      </c>
      <c r="U361" t="s">
        <v>88</v>
      </c>
      <c r="AK361" t="s">
        <v>131</v>
      </c>
      <c r="AL361">
        <f t="shared" si="18"/>
        <v>12.937480828090001</v>
      </c>
      <c r="AM361">
        <f t="shared" si="19"/>
        <v>5.3578547780416361E-2</v>
      </c>
      <c r="AN361">
        <f t="shared" si="20"/>
        <v>3.2708741398138355E-2</v>
      </c>
    </row>
    <row r="362" spans="1:40" x14ac:dyDescent="0.2">
      <c r="A362" t="s">
        <v>88</v>
      </c>
      <c r="B362">
        <v>2017</v>
      </c>
      <c r="C362">
        <v>139.7022939460291</v>
      </c>
      <c r="D362">
        <v>58.052326027950862</v>
      </c>
      <c r="E362">
        <v>8.0187079552531042</v>
      </c>
      <c r="F362">
        <v>2.4129386449494312</v>
      </c>
      <c r="G362">
        <v>5.3528952309602946</v>
      </c>
      <c r="H362">
        <v>2.5854602130995858</v>
      </c>
      <c r="I362">
        <v>0.12761869424805999</v>
      </c>
      <c r="J362">
        <v>0.33930909999999997</v>
      </c>
      <c r="K362">
        <v>0.39300000000000002</v>
      </c>
      <c r="L362">
        <v>13.9</v>
      </c>
      <c r="M362">
        <v>0.18006718029691479</v>
      </c>
      <c r="N362">
        <v>501</v>
      </c>
      <c r="O362">
        <v>12</v>
      </c>
      <c r="P362">
        <v>29.691136856</v>
      </c>
      <c r="Q362">
        <v>44.308508443999997</v>
      </c>
      <c r="R362">
        <v>21.450931883999999</v>
      </c>
      <c r="S362">
        <v>4.236114766</v>
      </c>
      <c r="T362">
        <v>0.31330805000000339</v>
      </c>
      <c r="U362" t="s">
        <v>88</v>
      </c>
      <c r="V362">
        <v>2867.4940694472862</v>
      </c>
      <c r="W362">
        <v>32.603992602682141</v>
      </c>
      <c r="AK362" t="s">
        <v>131</v>
      </c>
      <c r="AL362">
        <f t="shared" si="18"/>
        <v>12.967161784299998</v>
      </c>
      <c r="AM362">
        <f t="shared" si="19"/>
        <v>3.9229949418909546E-2</v>
      </c>
      <c r="AN362">
        <f t="shared" si="20"/>
        <v>5.7398541775920693E-2</v>
      </c>
    </row>
    <row r="363" spans="1:40" x14ac:dyDescent="0.2">
      <c r="A363" t="s">
        <v>88</v>
      </c>
      <c r="B363">
        <v>2018</v>
      </c>
      <c r="C363">
        <v>131.40772599712071</v>
      </c>
      <c r="D363">
        <v>58.425021774918903</v>
      </c>
      <c r="E363">
        <v>6.6509463915239406</v>
      </c>
      <c r="F363">
        <v>2.258051981162208</v>
      </c>
      <c r="G363">
        <v>5.1605846956676684</v>
      </c>
      <c r="H363">
        <v>2.7651066757778562</v>
      </c>
      <c r="I363">
        <v>0.13979545318842621</v>
      </c>
      <c r="J363">
        <v>0.36532750000000003</v>
      </c>
      <c r="K363">
        <v>0.39900000000000002</v>
      </c>
      <c r="L363">
        <v>13.2</v>
      </c>
      <c r="M363">
        <v>0.1724976432527775</v>
      </c>
      <c r="N363">
        <v>486</v>
      </c>
      <c r="O363">
        <v>12</v>
      </c>
      <c r="P363">
        <v>30.003423968</v>
      </c>
      <c r="Q363">
        <v>44.637082292000002</v>
      </c>
      <c r="R363">
        <v>20.293503469000001</v>
      </c>
      <c r="S363">
        <v>4.8288549630000004</v>
      </c>
      <c r="T363">
        <v>0.23713530800000629</v>
      </c>
      <c r="U363" t="s">
        <v>88</v>
      </c>
      <c r="V363">
        <v>2859.6610456229409</v>
      </c>
      <c r="W363">
        <v>32.104724779432402</v>
      </c>
      <c r="AK363" t="s">
        <v>131</v>
      </c>
      <c r="AL363">
        <f t="shared" si="18"/>
        <v>12.979702033740001</v>
      </c>
      <c r="AM363">
        <f t="shared" si="19"/>
        <v>4.033537684817886E-2</v>
      </c>
      <c r="AN363">
        <f t="shared" si="20"/>
        <v>5.0613054453660287E-2</v>
      </c>
    </row>
    <row r="364" spans="1:40" x14ac:dyDescent="0.2">
      <c r="A364" t="s">
        <v>88</v>
      </c>
      <c r="B364">
        <v>2019</v>
      </c>
      <c r="C364">
        <v>144.95326391136331</v>
      </c>
      <c r="D364">
        <v>60.645072245807079</v>
      </c>
      <c r="E364">
        <v>6.2156142321384378</v>
      </c>
      <c r="F364">
        <v>2.075044261265206</v>
      </c>
      <c r="G364">
        <v>4.9115726551047993</v>
      </c>
      <c r="H364">
        <v>2.4891012583525289</v>
      </c>
      <c r="I364">
        <v>0.1237411715433379</v>
      </c>
      <c r="J364">
        <v>0.386764</v>
      </c>
      <c r="K364">
        <v>0.39800000000000002</v>
      </c>
      <c r="L364">
        <v>13.3</v>
      </c>
      <c r="M364">
        <v>0.1644875572945462</v>
      </c>
      <c r="N364">
        <v>419</v>
      </c>
      <c r="O364">
        <v>6</v>
      </c>
      <c r="P364">
        <v>30.510980688727511</v>
      </c>
      <c r="Q364">
        <v>44.092558861388511</v>
      </c>
      <c r="R364">
        <v>19.70775943649058</v>
      </c>
      <c r="S364">
        <v>5.3871859089937244</v>
      </c>
      <c r="T364">
        <v>0.30151510439966961</v>
      </c>
      <c r="U364" t="s">
        <v>88</v>
      </c>
      <c r="V364">
        <v>2903.4149587019169</v>
      </c>
      <c r="W364">
        <v>31.693237349965969</v>
      </c>
      <c r="AK364" t="s">
        <v>131</v>
      </c>
      <c r="AL364">
        <f t="shared" si="18"/>
        <v>12.973440629289021</v>
      </c>
      <c r="AM364">
        <f t="shared" si="19"/>
        <v>3.4737498768755933E-2</v>
      </c>
      <c r="AN364">
        <f t="shared" si="20"/>
        <v>4.2880126079390596E-2</v>
      </c>
    </row>
    <row r="365" spans="1:40" x14ac:dyDescent="0.2">
      <c r="A365" t="s">
        <v>88</v>
      </c>
      <c r="B365">
        <v>2020</v>
      </c>
      <c r="C365">
        <v>147.10727303522469</v>
      </c>
      <c r="D365">
        <v>55.645536100753233</v>
      </c>
      <c r="E365">
        <v>6.5057562006574363</v>
      </c>
      <c r="F365">
        <v>1.9938915928049341</v>
      </c>
      <c r="G365">
        <v>4.4451633359307126</v>
      </c>
      <c r="H365">
        <v>2.170173525741093</v>
      </c>
      <c r="I365">
        <v>8.8140966468079507E-2</v>
      </c>
      <c r="J365">
        <v>0.40600599999999998</v>
      </c>
      <c r="K365">
        <v>0.38900000000000001</v>
      </c>
      <c r="L365">
        <v>13</v>
      </c>
      <c r="M365">
        <v>0.15849607989634659</v>
      </c>
      <c r="N365">
        <v>497</v>
      </c>
      <c r="O365">
        <v>12</v>
      </c>
      <c r="P365">
        <v>36.977565245000001</v>
      </c>
      <c r="Q365">
        <v>40.001140311</v>
      </c>
      <c r="R365">
        <v>16.609502974000002</v>
      </c>
      <c r="S365">
        <v>6.0852356810000003</v>
      </c>
      <c r="T365">
        <v>0.32655578899999682</v>
      </c>
      <c r="U365" t="s">
        <v>88</v>
      </c>
      <c r="V365">
        <v>2878.2158406295539</v>
      </c>
      <c r="W365">
        <v>32.561942883571461</v>
      </c>
      <c r="AK365" t="s">
        <v>131</v>
      </c>
      <c r="AL365">
        <f t="shared" si="18"/>
        <v>13.134561797169999</v>
      </c>
      <c r="AM365">
        <f t="shared" si="19"/>
        <v>3.0816316616196788E-2</v>
      </c>
      <c r="AN365">
        <f t="shared" si="20"/>
        <v>4.4224572085566696E-2</v>
      </c>
    </row>
    <row r="366" spans="1:40" x14ac:dyDescent="0.2">
      <c r="A366" t="s">
        <v>89</v>
      </c>
      <c r="B366">
        <v>2021</v>
      </c>
      <c r="C366">
        <v>83.322938073693138</v>
      </c>
      <c r="D366">
        <v>45.462947197240723</v>
      </c>
      <c r="E366">
        <v>6.1825237626530036</v>
      </c>
      <c r="F366">
        <v>2.1488595110251971</v>
      </c>
      <c r="G366">
        <v>7.5301136254993146</v>
      </c>
      <c r="H366">
        <v>2.5950210196702592</v>
      </c>
      <c r="I366">
        <v>0.2276334227780929</v>
      </c>
      <c r="J366">
        <v>0.49257380000000001</v>
      </c>
      <c r="K366">
        <v>0.36099999999999999</v>
      </c>
      <c r="L366">
        <v>12.5</v>
      </c>
      <c r="M366">
        <v>0.13548159928533221</v>
      </c>
      <c r="N366">
        <v>165</v>
      </c>
      <c r="O366">
        <v>6</v>
      </c>
      <c r="P366">
        <v>33.934057488215323</v>
      </c>
      <c r="Q366">
        <v>50.191581780118312</v>
      </c>
      <c r="R366">
        <v>9.6325544291450296</v>
      </c>
      <c r="S366">
        <v>5.6731970230512072</v>
      </c>
      <c r="T366">
        <v>0.56860927947013806</v>
      </c>
      <c r="U366" t="s">
        <v>89</v>
      </c>
      <c r="V366">
        <v>867.30219433822185</v>
      </c>
      <c r="W366">
        <v>40.735173831176439</v>
      </c>
      <c r="AK366" t="s">
        <v>136</v>
      </c>
      <c r="AL366">
        <f t="shared" si="18"/>
        <v>13.207927345107045</v>
      </c>
      <c r="AM366">
        <f t="shared" si="19"/>
        <v>9.3104578734564528E-2</v>
      </c>
      <c r="AN366">
        <f t="shared" si="20"/>
        <v>7.4199541033766803E-2</v>
      </c>
    </row>
    <row r="367" spans="1:40" x14ac:dyDescent="0.2">
      <c r="A367" t="s">
        <v>89</v>
      </c>
      <c r="B367">
        <v>2016</v>
      </c>
      <c r="C367">
        <v>84.275504091220014</v>
      </c>
      <c r="D367">
        <v>50.207812916167832</v>
      </c>
      <c r="E367">
        <v>4.7517792625981894</v>
      </c>
      <c r="F367">
        <v>2.0706077233668081</v>
      </c>
      <c r="G367">
        <v>6.6542607178283752</v>
      </c>
      <c r="H367">
        <v>2.221036489594312</v>
      </c>
      <c r="I367">
        <v>9.7336260500149097E-2</v>
      </c>
      <c r="J367">
        <v>0.32264369999999998</v>
      </c>
      <c r="K367">
        <v>0.36699999999999999</v>
      </c>
      <c r="L367">
        <v>12.8</v>
      </c>
      <c r="M367">
        <v>0.17302978157828719</v>
      </c>
      <c r="N367">
        <v>164</v>
      </c>
      <c r="O367">
        <v>7</v>
      </c>
      <c r="P367">
        <v>31.824322581000001</v>
      </c>
      <c r="Q367">
        <v>50.288858675</v>
      </c>
      <c r="R367">
        <v>13.665513587</v>
      </c>
      <c r="S367">
        <v>3.9179630080000001</v>
      </c>
      <c r="T367">
        <v>0.30334214899998813</v>
      </c>
      <c r="U367" t="s">
        <v>89</v>
      </c>
      <c r="AK367" t="s">
        <v>136</v>
      </c>
      <c r="AL367">
        <f t="shared" si="18"/>
        <v>13.179156866149999</v>
      </c>
      <c r="AM367">
        <f t="shared" si="19"/>
        <v>8.0113397732045344E-2</v>
      </c>
      <c r="AN367">
        <f t="shared" si="20"/>
        <v>5.6383872322553562E-2</v>
      </c>
    </row>
    <row r="368" spans="1:40" x14ac:dyDescent="0.2">
      <c r="A368" t="s">
        <v>89</v>
      </c>
      <c r="B368">
        <v>2018</v>
      </c>
      <c r="C368">
        <v>83.35458512636049</v>
      </c>
      <c r="D368">
        <v>45.663118360300821</v>
      </c>
      <c r="E368">
        <v>5.0469293091056953</v>
      </c>
      <c r="F368">
        <v>1.7922840832689839</v>
      </c>
      <c r="G368">
        <v>6.6341261589657901</v>
      </c>
      <c r="H368">
        <v>1.863618773150336</v>
      </c>
      <c r="I368">
        <v>0.1872535609385505</v>
      </c>
      <c r="J368">
        <v>0.36933090000000002</v>
      </c>
      <c r="K368">
        <v>0.36399999999999999</v>
      </c>
      <c r="L368">
        <v>13</v>
      </c>
      <c r="M368">
        <v>0.1573100631463428</v>
      </c>
      <c r="N368">
        <v>174</v>
      </c>
      <c r="O368">
        <v>6</v>
      </c>
      <c r="P368">
        <v>30.473330937</v>
      </c>
      <c r="Q368">
        <v>51.090516489000002</v>
      </c>
      <c r="R368">
        <v>13.003945484999999</v>
      </c>
      <c r="S368">
        <v>5.094356994</v>
      </c>
      <c r="T368">
        <v>0.3378500950000074</v>
      </c>
      <c r="U368" t="s">
        <v>89</v>
      </c>
      <c r="V368">
        <v>2180.0793047269221</v>
      </c>
      <c r="W368">
        <v>40.647996250635899</v>
      </c>
      <c r="AK368" t="s">
        <v>136</v>
      </c>
      <c r="AL368">
        <f t="shared" si="18"/>
        <v>13.115206920730001</v>
      </c>
      <c r="AM368">
        <f t="shared" si="19"/>
        <v>8.1835686777920413E-2</v>
      </c>
      <c r="AN368">
        <f t="shared" si="20"/>
        <v>6.0547710740265298E-2</v>
      </c>
    </row>
    <row r="369" spans="1:40" x14ac:dyDescent="0.2">
      <c r="A369" t="s">
        <v>89</v>
      </c>
      <c r="B369">
        <v>2017</v>
      </c>
      <c r="C369">
        <v>84.686870694987931</v>
      </c>
      <c r="D369">
        <v>48.227672957091222</v>
      </c>
      <c r="E369">
        <v>5.0677219835294602</v>
      </c>
      <c r="F369">
        <v>1.90816151744104</v>
      </c>
      <c r="G369">
        <v>6.1771182145998322</v>
      </c>
      <c r="H369">
        <v>2.0679145747151741</v>
      </c>
      <c r="I369">
        <v>0.1597530572741335</v>
      </c>
      <c r="J369">
        <v>0.34920370000000001</v>
      </c>
      <c r="K369">
        <v>0.36499999999999999</v>
      </c>
      <c r="L369">
        <v>13.3</v>
      </c>
      <c r="M369">
        <v>0.16544146177995689</v>
      </c>
      <c r="N369">
        <v>179</v>
      </c>
      <c r="O369">
        <v>6</v>
      </c>
      <c r="P369">
        <v>29.337756036999998</v>
      </c>
      <c r="Q369">
        <v>54.528418467999998</v>
      </c>
      <c r="R369">
        <v>11.97010682</v>
      </c>
      <c r="S369">
        <v>3.7734769080000001</v>
      </c>
      <c r="T369">
        <v>0.39024176699999202</v>
      </c>
      <c r="U369" t="s">
        <v>89</v>
      </c>
      <c r="V369">
        <v>2323.0520416275972</v>
      </c>
      <c r="W369">
        <v>38.708247261440263</v>
      </c>
      <c r="AK369" t="s">
        <v>136</v>
      </c>
      <c r="AL369">
        <f t="shared" si="18"/>
        <v>13.161292148989997</v>
      </c>
      <c r="AM369">
        <f t="shared" si="19"/>
        <v>7.4827080276671551E-2</v>
      </c>
      <c r="AN369">
        <f t="shared" si="20"/>
        <v>5.9840704254873194E-2</v>
      </c>
    </row>
    <row r="370" spans="1:40" x14ac:dyDescent="0.2">
      <c r="A370" t="s">
        <v>89</v>
      </c>
      <c r="B370">
        <v>2020</v>
      </c>
      <c r="C370">
        <v>90.39119012812408</v>
      </c>
      <c r="D370">
        <v>46.426603489931431</v>
      </c>
      <c r="E370">
        <v>5.7266692338979137</v>
      </c>
      <c r="F370">
        <v>1.9118958702147371</v>
      </c>
      <c r="G370">
        <v>6.1505329409738234</v>
      </c>
      <c r="H370">
        <v>1.7856385957665939</v>
      </c>
      <c r="I370">
        <v>0.1533124046870307</v>
      </c>
      <c r="J370">
        <v>0.41359829999999997</v>
      </c>
      <c r="K370">
        <v>0.35599999999999998</v>
      </c>
      <c r="L370">
        <v>12.9</v>
      </c>
      <c r="M370">
        <v>0.14074211002431669</v>
      </c>
      <c r="N370">
        <v>166</v>
      </c>
      <c r="O370">
        <v>6</v>
      </c>
      <c r="P370">
        <v>32.365487356000003</v>
      </c>
      <c r="Q370">
        <v>50.919000750000002</v>
      </c>
      <c r="R370">
        <v>10.996628475</v>
      </c>
      <c r="S370">
        <v>5.4194957439999998</v>
      </c>
      <c r="T370">
        <v>0.29938767500000552</v>
      </c>
      <c r="U370" t="s">
        <v>89</v>
      </c>
      <c r="V370">
        <v>2459.7478983423948</v>
      </c>
      <c r="W370">
        <v>38.25510224686667</v>
      </c>
      <c r="AK370" t="s">
        <v>136</v>
      </c>
      <c r="AL370">
        <f t="shared" si="18"/>
        <v>13.183652457110002</v>
      </c>
      <c r="AM370">
        <f t="shared" si="19"/>
        <v>6.9739598922478316E-2</v>
      </c>
      <c r="AN370">
        <f t="shared" si="20"/>
        <v>6.335428514416841E-2</v>
      </c>
    </row>
    <row r="371" spans="1:40" x14ac:dyDescent="0.2">
      <c r="A371" t="s">
        <v>89</v>
      </c>
      <c r="B371">
        <v>2019</v>
      </c>
      <c r="C371">
        <v>91.999457876365298</v>
      </c>
      <c r="D371">
        <v>47.767913640782062</v>
      </c>
      <c r="E371">
        <v>5.7623075079635626</v>
      </c>
      <c r="F371">
        <v>1.804086930063358</v>
      </c>
      <c r="G371">
        <v>5.753331951097576</v>
      </c>
      <c r="H371">
        <v>2.0733536360429641</v>
      </c>
      <c r="I371">
        <v>0.188486694185724</v>
      </c>
      <c r="J371">
        <v>0.3890324</v>
      </c>
      <c r="K371">
        <v>0.36299999999999999</v>
      </c>
      <c r="L371">
        <v>12.7</v>
      </c>
      <c r="M371">
        <v>0.14851944164392381</v>
      </c>
      <c r="N371">
        <v>136</v>
      </c>
      <c r="O371">
        <v>6</v>
      </c>
      <c r="P371">
        <v>29.723685883924361</v>
      </c>
      <c r="Q371">
        <v>52.378314660778301</v>
      </c>
      <c r="R371">
        <v>12.73353842051932</v>
      </c>
      <c r="S371">
        <v>4.6482253085842489</v>
      </c>
      <c r="T371">
        <v>0.51623572619377001</v>
      </c>
      <c r="U371" t="s">
        <v>89</v>
      </c>
      <c r="V371">
        <v>2238.253560928425</v>
      </c>
      <c r="W371">
        <v>40.75461217682502</v>
      </c>
      <c r="AK371" t="s">
        <v>136</v>
      </c>
      <c r="AL371">
        <f t="shared" si="18"/>
        <v>13.107412721567291</v>
      </c>
      <c r="AM371">
        <f t="shared" si="19"/>
        <v>6.4585365853658538E-2</v>
      </c>
      <c r="AN371">
        <f t="shared" si="20"/>
        <v>6.2634146341463415E-2</v>
      </c>
    </row>
    <row r="372" spans="1:40" x14ac:dyDescent="0.2">
      <c r="A372" t="s">
        <v>89</v>
      </c>
      <c r="B372">
        <v>2022</v>
      </c>
      <c r="C372">
        <v>83.325823632164827</v>
      </c>
      <c r="D372">
        <v>43.419726756109483</v>
      </c>
      <c r="E372">
        <v>7.9739372407446343</v>
      </c>
      <c r="F372">
        <v>2.1573323356809122</v>
      </c>
      <c r="G372">
        <v>5.6800648838180958</v>
      </c>
      <c r="H372">
        <v>2.3029750250095811</v>
      </c>
      <c r="I372">
        <v>0.3732093914047146</v>
      </c>
      <c r="J372">
        <v>0.56611299999999998</v>
      </c>
      <c r="K372">
        <v>0.36199999999999999</v>
      </c>
      <c r="L372">
        <v>10.9</v>
      </c>
      <c r="M372">
        <v>0.13149441232719719</v>
      </c>
      <c r="N372">
        <v>157</v>
      </c>
      <c r="O372">
        <v>6</v>
      </c>
      <c r="P372">
        <v>31.294850776203479</v>
      </c>
      <c r="Q372">
        <v>51.219423190425843</v>
      </c>
      <c r="R372">
        <v>11.576174671691231</v>
      </c>
      <c r="S372">
        <v>5.7440512035487004</v>
      </c>
      <c r="T372">
        <v>0.1655001581307545</v>
      </c>
      <c r="U372" t="s">
        <v>89</v>
      </c>
      <c r="V372">
        <v>907.86104905560421</v>
      </c>
      <c r="W372">
        <v>42.476104775205883</v>
      </c>
      <c r="AK372" t="s">
        <v>136</v>
      </c>
      <c r="AL372">
        <f t="shared" si="18"/>
        <v>13.149716459716531</v>
      </c>
      <c r="AM372">
        <f t="shared" si="19"/>
        <v>7.2645837885077558E-2</v>
      </c>
      <c r="AN372">
        <f t="shared" si="20"/>
        <v>9.5695870657636004E-2</v>
      </c>
    </row>
    <row r="373" spans="1:40" x14ac:dyDescent="0.2">
      <c r="A373" t="s">
        <v>90</v>
      </c>
      <c r="B373">
        <v>2022</v>
      </c>
      <c r="C373">
        <v>148.7177283161588</v>
      </c>
      <c r="D373">
        <v>47.59220119934875</v>
      </c>
      <c r="E373">
        <v>11.316578518915531</v>
      </c>
      <c r="F373">
        <v>2.5091771415858499</v>
      </c>
      <c r="G373">
        <v>11.57887285487476</v>
      </c>
      <c r="H373">
        <v>3.8964929667195891</v>
      </c>
      <c r="I373">
        <v>0.12640690889601261</v>
      </c>
      <c r="J373">
        <v>0.7542179</v>
      </c>
      <c r="K373">
        <v>0.36899999999999999</v>
      </c>
      <c r="L373">
        <v>10.6</v>
      </c>
      <c r="M373">
        <v>0.13821426223871691</v>
      </c>
      <c r="N373">
        <v>298</v>
      </c>
      <c r="O373">
        <v>16</v>
      </c>
      <c r="P373">
        <v>39.440728626314048</v>
      </c>
      <c r="Q373">
        <v>46.57009434356867</v>
      </c>
      <c r="R373">
        <v>11.074536285395</v>
      </c>
      <c r="S373">
        <v>2.7879480296069019</v>
      </c>
      <c r="T373">
        <v>0.1266927151153823</v>
      </c>
      <c r="U373" t="s">
        <v>90</v>
      </c>
      <c r="V373">
        <v>862.75034685847447</v>
      </c>
      <c r="W373">
        <v>34.348973441905073</v>
      </c>
      <c r="AK373" t="s">
        <v>135</v>
      </c>
      <c r="AL373">
        <f t="shared" si="18"/>
        <v>13.444403581273718</v>
      </c>
      <c r="AM373">
        <f t="shared" si="19"/>
        <v>7.8708032299192571E-2</v>
      </c>
      <c r="AN373">
        <f t="shared" si="20"/>
        <v>7.6094347641308999E-2</v>
      </c>
    </row>
    <row r="374" spans="1:40" x14ac:dyDescent="0.2">
      <c r="A374" t="s">
        <v>90</v>
      </c>
      <c r="B374">
        <v>2021</v>
      </c>
      <c r="C374">
        <v>137.2154396537403</v>
      </c>
      <c r="D374">
        <v>48.402682929613043</v>
      </c>
      <c r="E374">
        <v>9.2258994776428889</v>
      </c>
      <c r="F374">
        <v>2.5173072801541072</v>
      </c>
      <c r="G374">
        <v>11.13448761700406</v>
      </c>
      <c r="H374">
        <v>3.6745077300990059</v>
      </c>
      <c r="I374">
        <v>0.1204756632819346</v>
      </c>
      <c r="J374">
        <v>0.67976760000000003</v>
      </c>
      <c r="K374">
        <v>0.36799999999999999</v>
      </c>
      <c r="L374">
        <v>11.7</v>
      </c>
      <c r="M374">
        <v>0.14241966725201649</v>
      </c>
      <c r="N374">
        <v>310</v>
      </c>
      <c r="O374">
        <v>17</v>
      </c>
      <c r="P374">
        <v>35.803358505781702</v>
      </c>
      <c r="Q374">
        <v>48.113816079922159</v>
      </c>
      <c r="R374">
        <v>12.68853380593127</v>
      </c>
      <c r="S374">
        <v>3.160466004919396</v>
      </c>
      <c r="T374">
        <v>0.23382560344546729</v>
      </c>
      <c r="U374" t="s">
        <v>90</v>
      </c>
      <c r="V374">
        <v>877.60187567200671</v>
      </c>
      <c r="W374">
        <v>30.359174139427299</v>
      </c>
      <c r="AK374" t="s">
        <v>135</v>
      </c>
      <c r="AL374">
        <f t="shared" si="18"/>
        <v>13.314833549490141</v>
      </c>
      <c r="AM374">
        <f t="shared" si="19"/>
        <v>8.2024029574861337E-2</v>
      </c>
      <c r="AN374">
        <f t="shared" si="20"/>
        <v>6.7236598890942689E-2</v>
      </c>
    </row>
    <row r="375" spans="1:40" x14ac:dyDescent="0.2">
      <c r="A375" t="s">
        <v>90</v>
      </c>
      <c r="B375">
        <v>2020</v>
      </c>
      <c r="C375">
        <v>139.42932481887269</v>
      </c>
      <c r="D375">
        <v>48.36560852351856</v>
      </c>
      <c r="E375">
        <v>10.19332404894808</v>
      </c>
      <c r="F375">
        <v>2.2424683884294918</v>
      </c>
      <c r="G375">
        <v>9.2749498982869181</v>
      </c>
      <c r="H375">
        <v>2.7614126858921368</v>
      </c>
      <c r="I375">
        <v>0.1037888594925291</v>
      </c>
      <c r="J375">
        <v>0.50874409999999992</v>
      </c>
      <c r="K375">
        <v>0.36799999999999999</v>
      </c>
      <c r="L375">
        <v>12.3</v>
      </c>
      <c r="M375">
        <v>0.1479546485204192</v>
      </c>
      <c r="N375">
        <v>316</v>
      </c>
      <c r="O375">
        <v>17</v>
      </c>
      <c r="P375">
        <v>40.095520332</v>
      </c>
      <c r="Q375">
        <v>45.988383040999999</v>
      </c>
      <c r="R375">
        <v>10.908380713</v>
      </c>
      <c r="S375">
        <v>2.6614666630000001</v>
      </c>
      <c r="T375">
        <v>0.34624925100000331</v>
      </c>
      <c r="U375" t="s">
        <v>90</v>
      </c>
      <c r="V375">
        <v>2350.244094797255</v>
      </c>
      <c r="W375">
        <v>33.421951175526452</v>
      </c>
      <c r="AK375" t="s">
        <v>135</v>
      </c>
      <c r="AL375">
        <f t="shared" si="18"/>
        <v>13.446121693270001</v>
      </c>
      <c r="AM375">
        <f t="shared" si="19"/>
        <v>6.7265180907696481E-2</v>
      </c>
      <c r="AN375">
        <f t="shared" si="20"/>
        <v>7.3107461878552729E-2</v>
      </c>
    </row>
    <row r="376" spans="1:40" x14ac:dyDescent="0.2">
      <c r="A376" t="s">
        <v>90</v>
      </c>
      <c r="B376">
        <v>2019</v>
      </c>
      <c r="C376">
        <v>133.96007210721331</v>
      </c>
      <c r="D376">
        <v>51.758728610842851</v>
      </c>
      <c r="E376">
        <v>9.6417322067785562</v>
      </c>
      <c r="F376">
        <v>2.2337150860278761</v>
      </c>
      <c r="G376">
        <v>7.9075399037020606</v>
      </c>
      <c r="H376">
        <v>2.777221007100763</v>
      </c>
      <c r="I376">
        <v>0.1602242888711978</v>
      </c>
      <c r="J376">
        <v>0.52691969999999999</v>
      </c>
      <c r="K376">
        <v>0.377</v>
      </c>
      <c r="L376">
        <v>12.9</v>
      </c>
      <c r="M376">
        <v>0.15482650369544801</v>
      </c>
      <c r="N376">
        <v>242</v>
      </c>
      <c r="O376">
        <v>17</v>
      </c>
      <c r="P376">
        <v>36.036114356640482</v>
      </c>
      <c r="Q376">
        <v>48.16252546496122</v>
      </c>
      <c r="R376">
        <v>12.542978380888581</v>
      </c>
      <c r="S376">
        <v>3.0696583521152481</v>
      </c>
      <c r="T376">
        <v>0.18872344539445859</v>
      </c>
      <c r="U376" t="s">
        <v>90</v>
      </c>
      <c r="V376">
        <v>2370.7057580906439</v>
      </c>
      <c r="W376">
        <v>29.476536302365499</v>
      </c>
      <c r="AK376" t="s">
        <v>135</v>
      </c>
      <c r="AL376">
        <f t="shared" si="18"/>
        <v>13.330091275344921</v>
      </c>
      <c r="AM376">
        <f t="shared" si="19"/>
        <v>6.0225140712945588E-2</v>
      </c>
      <c r="AN376">
        <f t="shared" si="20"/>
        <v>7.1974671669793627E-2</v>
      </c>
    </row>
    <row r="377" spans="1:40" x14ac:dyDescent="0.2">
      <c r="A377" t="s">
        <v>90</v>
      </c>
      <c r="B377">
        <v>2018</v>
      </c>
      <c r="C377">
        <v>129.82877169162239</v>
      </c>
      <c r="D377">
        <v>56.927885708345109</v>
      </c>
      <c r="E377">
        <v>7.4619995403182831</v>
      </c>
      <c r="F377">
        <v>2.3641668707261032</v>
      </c>
      <c r="G377">
        <v>7.0330050220540761</v>
      </c>
      <c r="H377">
        <v>2.6710388618932002</v>
      </c>
      <c r="I377">
        <v>8.4546364913383798E-2</v>
      </c>
      <c r="J377">
        <v>0.50631950000000003</v>
      </c>
      <c r="K377">
        <v>0.378</v>
      </c>
      <c r="L377">
        <v>12.7</v>
      </c>
      <c r="M377">
        <v>0.16395886623936701</v>
      </c>
      <c r="N377">
        <v>319</v>
      </c>
      <c r="O377">
        <v>19</v>
      </c>
      <c r="P377">
        <v>36.978425588999997</v>
      </c>
      <c r="Q377">
        <v>46.541965283000003</v>
      </c>
      <c r="R377">
        <v>13.409735798</v>
      </c>
      <c r="S377">
        <v>2.6433086669999999</v>
      </c>
      <c r="T377">
        <v>0.42656466299999352</v>
      </c>
      <c r="U377" t="s">
        <v>90</v>
      </c>
      <c r="V377">
        <v>2271.702599990449</v>
      </c>
      <c r="W377">
        <v>29.511038141289301</v>
      </c>
      <c r="AK377" t="s">
        <v>135</v>
      </c>
      <c r="AL377">
        <f t="shared" si="18"/>
        <v>13.327250629469999</v>
      </c>
      <c r="AM377">
        <f t="shared" si="19"/>
        <v>5.4822604375195996E-2</v>
      </c>
      <c r="AN377">
        <f t="shared" si="20"/>
        <v>5.7475700055473852E-2</v>
      </c>
    </row>
    <row r="378" spans="1:40" x14ac:dyDescent="0.2">
      <c r="A378" t="s">
        <v>90</v>
      </c>
      <c r="B378">
        <v>2017</v>
      </c>
      <c r="C378">
        <v>137.4326204341946</v>
      </c>
      <c r="D378">
        <v>62.515626565582878</v>
      </c>
      <c r="E378">
        <v>8.0064201188695865</v>
      </c>
      <c r="F378">
        <v>2.6968994084613351</v>
      </c>
      <c r="G378">
        <v>6.7547341665628791</v>
      </c>
      <c r="H378">
        <v>2.5970142451849889</v>
      </c>
      <c r="I378">
        <v>0.1123708086858889</v>
      </c>
      <c r="J378">
        <v>0.45029609999999998</v>
      </c>
      <c r="K378">
        <v>0.377</v>
      </c>
      <c r="L378">
        <v>13.3</v>
      </c>
      <c r="M378">
        <v>0.17331631846933271</v>
      </c>
      <c r="N378">
        <v>320</v>
      </c>
      <c r="O378">
        <v>20</v>
      </c>
      <c r="P378">
        <v>38.016952402000001</v>
      </c>
      <c r="Q378">
        <v>45.612016568999998</v>
      </c>
      <c r="R378">
        <v>13.638464011</v>
      </c>
      <c r="S378">
        <v>2.4002767089999999</v>
      </c>
      <c r="T378">
        <v>0.33229030900000112</v>
      </c>
      <c r="U378" t="s">
        <v>90</v>
      </c>
      <c r="V378">
        <v>2378.5172286805778</v>
      </c>
      <c r="W378">
        <v>31.80857608636941</v>
      </c>
      <c r="AK378" t="s">
        <v>135</v>
      </c>
      <c r="AL378">
        <f t="shared" si="18"/>
        <v>13.361652571650001</v>
      </c>
      <c r="AM378">
        <f t="shared" si="19"/>
        <v>4.9967067160280709E-2</v>
      </c>
      <c r="AN378">
        <f t="shared" si="20"/>
        <v>5.8257057848236364E-2</v>
      </c>
    </row>
    <row r="379" spans="1:40" x14ac:dyDescent="0.2">
      <c r="A379" t="s">
        <v>90</v>
      </c>
      <c r="B379">
        <v>2016</v>
      </c>
      <c r="C379">
        <v>137.56189614703791</v>
      </c>
      <c r="D379">
        <v>70.309344271243546</v>
      </c>
      <c r="E379">
        <v>7.8790383580657997</v>
      </c>
      <c r="F379">
        <v>3.3219223481156281</v>
      </c>
      <c r="G379">
        <v>6.2227559478785706</v>
      </c>
      <c r="H379">
        <v>3.141010145119659</v>
      </c>
      <c r="I379">
        <v>0.25889160083905832</v>
      </c>
      <c r="J379">
        <v>0.42370449999999998</v>
      </c>
      <c r="K379">
        <v>0.38100000000000001</v>
      </c>
      <c r="L379">
        <v>13.5</v>
      </c>
      <c r="M379">
        <v>0.1827606816244855</v>
      </c>
      <c r="N379">
        <v>322</v>
      </c>
      <c r="O379">
        <v>22</v>
      </c>
      <c r="P379">
        <v>36.288831567999999</v>
      </c>
      <c r="Q379">
        <v>47.085690732000003</v>
      </c>
      <c r="R379">
        <v>13.534921979</v>
      </c>
      <c r="S379">
        <v>2.9333089239999999</v>
      </c>
      <c r="T379">
        <v>0.15724679699999911</v>
      </c>
      <c r="U379" t="s">
        <v>90</v>
      </c>
      <c r="AK379" t="s">
        <v>135</v>
      </c>
      <c r="AL379">
        <f t="shared" si="18"/>
        <v>13.32359362309</v>
      </c>
      <c r="AM379">
        <f t="shared" si="19"/>
        <v>4.7118044533127769E-2</v>
      </c>
      <c r="AN379">
        <f t="shared" si="20"/>
        <v>5.7276313999365128E-2</v>
      </c>
    </row>
    <row r="380" spans="1:40" x14ac:dyDescent="0.2">
      <c r="A380" t="s">
        <v>91</v>
      </c>
      <c r="B380">
        <v>2018</v>
      </c>
      <c r="C380">
        <v>96.077400043161958</v>
      </c>
      <c r="D380">
        <v>40.058408781123077</v>
      </c>
      <c r="E380">
        <v>12.79910910726681</v>
      </c>
      <c r="F380">
        <v>2.8793324283646951</v>
      </c>
      <c r="G380">
        <v>5.9716719280036097</v>
      </c>
      <c r="H380">
        <v>2.6270872123820639</v>
      </c>
      <c r="I380">
        <v>0.13639926493875579</v>
      </c>
      <c r="J380">
        <v>0.86679490000000003</v>
      </c>
      <c r="K380">
        <v>0.40100000000000002</v>
      </c>
      <c r="L380">
        <v>6.7</v>
      </c>
      <c r="M380">
        <v>0.18309540543954081</v>
      </c>
      <c r="N380">
        <v>217</v>
      </c>
      <c r="O380">
        <v>66</v>
      </c>
      <c r="P380">
        <v>43.453613199000003</v>
      </c>
      <c r="Q380">
        <v>43.017458544999997</v>
      </c>
      <c r="R380">
        <v>12.963770768</v>
      </c>
      <c r="S380">
        <v>0.56061585800000002</v>
      </c>
      <c r="T380">
        <v>4.5416299999914136E-3</v>
      </c>
      <c r="U380" t="s">
        <v>91</v>
      </c>
      <c r="V380">
        <v>2295.4359119406672</v>
      </c>
      <c r="W380">
        <v>27.457835170974668</v>
      </c>
      <c r="X380">
        <v>6.48</v>
      </c>
      <c r="AA380">
        <v>1.91</v>
      </c>
      <c r="AD380">
        <v>761.56</v>
      </c>
      <c r="AF380">
        <v>75.97</v>
      </c>
      <c r="AH380">
        <v>3.78</v>
      </c>
      <c r="AI380">
        <v>11.4</v>
      </c>
      <c r="AK380" t="s">
        <v>134</v>
      </c>
      <c r="AL380">
        <f t="shared" si="18"/>
        <v>13.5869634676</v>
      </c>
      <c r="AM380">
        <f t="shared" si="19"/>
        <v>6.3574484636328282E-2</v>
      </c>
      <c r="AN380">
        <f t="shared" si="20"/>
        <v>0.13321664721898094</v>
      </c>
    </row>
    <row r="381" spans="1:40" x14ac:dyDescent="0.2">
      <c r="A381" t="s">
        <v>91</v>
      </c>
      <c r="B381">
        <v>2021</v>
      </c>
      <c r="C381">
        <v>116.55091745658061</v>
      </c>
      <c r="D381">
        <v>36.622859394889851</v>
      </c>
      <c r="E381">
        <v>10.517533990225729</v>
      </c>
      <c r="F381">
        <v>2.620561621085733</v>
      </c>
      <c r="G381">
        <v>5.7592924075030902</v>
      </c>
      <c r="H381">
        <v>2.9270057511205638</v>
      </c>
      <c r="I381">
        <v>0.13186383777256341</v>
      </c>
      <c r="J381">
        <v>1.6827586999999999</v>
      </c>
      <c r="K381">
        <v>0.40300000000000002</v>
      </c>
      <c r="L381">
        <v>5.2</v>
      </c>
      <c r="M381">
        <v>0.1597362303711202</v>
      </c>
      <c r="N381">
        <v>216</v>
      </c>
      <c r="O381">
        <v>62</v>
      </c>
      <c r="P381">
        <v>43.55963749127551</v>
      </c>
      <c r="Q381">
        <v>42.383055834873012</v>
      </c>
      <c r="R381">
        <v>13.70360800832035</v>
      </c>
      <c r="S381">
        <v>0.3209080415681374</v>
      </c>
      <c r="T381">
        <v>3.279062396300958E-2</v>
      </c>
      <c r="U381" t="s">
        <v>91</v>
      </c>
      <c r="V381">
        <v>949.3052672434028</v>
      </c>
      <c r="W381">
        <v>29.334676494066489</v>
      </c>
      <c r="X381">
        <v>6.02</v>
      </c>
      <c r="AA381">
        <v>1.03</v>
      </c>
      <c r="AD381">
        <v>759.19</v>
      </c>
      <c r="AF381">
        <v>73.86</v>
      </c>
      <c r="AH381">
        <v>4</v>
      </c>
      <c r="AI381">
        <v>11.55</v>
      </c>
      <c r="AK381" t="s">
        <v>134</v>
      </c>
      <c r="AL381">
        <f t="shared" si="18"/>
        <v>13.581333111839713</v>
      </c>
      <c r="AM381">
        <f t="shared" si="19"/>
        <v>5.0545773245159742E-2</v>
      </c>
      <c r="AN381">
        <f t="shared" si="20"/>
        <v>9.0239821528165037E-2</v>
      </c>
    </row>
    <row r="382" spans="1:40" x14ac:dyDescent="0.2">
      <c r="A382" t="s">
        <v>91</v>
      </c>
      <c r="B382">
        <v>2017</v>
      </c>
      <c r="C382">
        <v>98.716690595747977</v>
      </c>
      <c r="D382">
        <v>40.071349874724959</v>
      </c>
      <c r="E382">
        <v>14.031788599583569</v>
      </c>
      <c r="F382">
        <v>2.802192298931816</v>
      </c>
      <c r="G382">
        <v>5.5475834026150128</v>
      </c>
      <c r="H382">
        <v>2.5409068007881732</v>
      </c>
      <c r="I382">
        <v>0.13632286859668291</v>
      </c>
      <c r="J382">
        <v>0.78586599999999995</v>
      </c>
      <c r="K382">
        <v>0.40200000000000002</v>
      </c>
      <c r="L382">
        <v>7.5</v>
      </c>
      <c r="M382">
        <v>0.18858764524907631</v>
      </c>
      <c r="N382">
        <v>222</v>
      </c>
      <c r="O382">
        <v>66</v>
      </c>
      <c r="P382">
        <v>42.658513878999997</v>
      </c>
      <c r="Q382">
        <v>43.390872477000002</v>
      </c>
      <c r="R382">
        <v>13.414518600999999</v>
      </c>
      <c r="S382">
        <v>0.52423336099999995</v>
      </c>
      <c r="T382">
        <v>1.1861682000002821E-2</v>
      </c>
      <c r="U382" t="s">
        <v>91</v>
      </c>
      <c r="V382">
        <v>2486.3841544389129</v>
      </c>
      <c r="W382">
        <v>27.433420550777491</v>
      </c>
      <c r="X382">
        <v>5.82</v>
      </c>
      <c r="AA382">
        <v>2.2200000000000002</v>
      </c>
      <c r="AD382">
        <v>758.33</v>
      </c>
      <c r="AF382">
        <v>79.849999999999994</v>
      </c>
      <c r="AH382">
        <v>3.83</v>
      </c>
      <c r="AI382">
        <v>10.92</v>
      </c>
      <c r="AK382" t="s">
        <v>134</v>
      </c>
      <c r="AL382">
        <f t="shared" si="18"/>
        <v>13.562843019739999</v>
      </c>
      <c r="AM382">
        <f t="shared" si="19"/>
        <v>5.7577966166711417E-2</v>
      </c>
      <c r="AN382">
        <f t="shared" si="20"/>
        <v>0.14214200774866698</v>
      </c>
    </row>
    <row r="383" spans="1:40" x14ac:dyDescent="0.2">
      <c r="A383" t="s">
        <v>91</v>
      </c>
      <c r="B383">
        <v>2022</v>
      </c>
      <c r="C383">
        <v>112.28948507787921</v>
      </c>
      <c r="D383">
        <v>35.212724299008762</v>
      </c>
      <c r="E383">
        <v>9.1602655959896673</v>
      </c>
      <c r="F383">
        <v>2.4055281855149042</v>
      </c>
      <c r="G383">
        <v>5.4191253934616714</v>
      </c>
      <c r="H383">
        <v>3.077792178056876</v>
      </c>
      <c r="I383">
        <v>0.12838994022021721</v>
      </c>
      <c r="J383">
        <v>1.9925915999999999</v>
      </c>
      <c r="K383">
        <v>0.40100000000000002</v>
      </c>
      <c r="L383">
        <v>4.5999999999999996</v>
      </c>
      <c r="M383">
        <v>0.1540852252423181</v>
      </c>
      <c r="N383">
        <v>201</v>
      </c>
      <c r="O383">
        <v>62</v>
      </c>
      <c r="P383">
        <v>44.409111876236167</v>
      </c>
      <c r="Q383">
        <v>41.01346104513361</v>
      </c>
      <c r="R383">
        <v>14.278639707117341</v>
      </c>
      <c r="S383">
        <v>0.29878737151750739</v>
      </c>
      <c r="T383">
        <v>-4.6327386371558532E-12</v>
      </c>
      <c r="U383" t="s">
        <v>91</v>
      </c>
      <c r="V383">
        <v>967.75660888184996</v>
      </c>
      <c r="W383">
        <v>28.176722651397931</v>
      </c>
      <c r="X383">
        <v>6.41</v>
      </c>
      <c r="AA383">
        <v>1.58</v>
      </c>
      <c r="AD383">
        <v>759.63</v>
      </c>
      <c r="AF383">
        <v>74.010000000000005</v>
      </c>
      <c r="AH383">
        <v>3.88</v>
      </c>
      <c r="AI383">
        <v>12.36</v>
      </c>
      <c r="AK383" t="s">
        <v>134</v>
      </c>
      <c r="AL383">
        <f t="shared" si="18"/>
        <v>13.590657948522093</v>
      </c>
      <c r="AM383">
        <f t="shared" si="19"/>
        <v>4.9403693763796039E-2</v>
      </c>
      <c r="AN383">
        <f t="shared" si="20"/>
        <v>8.1577233964840942E-2</v>
      </c>
    </row>
    <row r="384" spans="1:40" x14ac:dyDescent="0.2">
      <c r="A384" t="s">
        <v>91</v>
      </c>
      <c r="B384">
        <v>2020</v>
      </c>
      <c r="C384">
        <v>113.5759042501163</v>
      </c>
      <c r="D384">
        <v>34.521635905020773</v>
      </c>
      <c r="E384">
        <v>9.9813562788436716</v>
      </c>
      <c r="F384">
        <v>2.2267242478043978</v>
      </c>
      <c r="G384">
        <v>5.3926741142750432</v>
      </c>
      <c r="H384">
        <v>2.4934865536977711</v>
      </c>
      <c r="I384">
        <v>0.14820128105187341</v>
      </c>
      <c r="J384">
        <v>0.95486280000000001</v>
      </c>
      <c r="K384">
        <v>0.39800000000000002</v>
      </c>
      <c r="L384">
        <v>6.1</v>
      </c>
      <c r="M384">
        <v>0.1667063865228198</v>
      </c>
      <c r="N384">
        <v>218</v>
      </c>
      <c r="O384">
        <v>62</v>
      </c>
      <c r="P384">
        <v>44.361019816999999</v>
      </c>
      <c r="Q384">
        <v>41.156694500999997</v>
      </c>
      <c r="R384">
        <v>14.174452257</v>
      </c>
      <c r="S384">
        <v>0.28376341300000002</v>
      </c>
      <c r="T384">
        <v>2.40700119999957E-2</v>
      </c>
      <c r="U384" t="s">
        <v>91</v>
      </c>
      <c r="V384">
        <v>2502.2443364822911</v>
      </c>
      <c r="W384">
        <v>29.7720440167259</v>
      </c>
      <c r="X384">
        <v>7.72</v>
      </c>
      <c r="AA384">
        <v>3.01</v>
      </c>
      <c r="AD384">
        <v>758.68</v>
      </c>
      <c r="AF384">
        <v>74.959999999999994</v>
      </c>
      <c r="AH384">
        <v>3.99</v>
      </c>
      <c r="AI384">
        <v>11.76</v>
      </c>
      <c r="AK384" t="s">
        <v>134</v>
      </c>
      <c r="AL384">
        <f t="shared" si="18"/>
        <v>13.590214513600001</v>
      </c>
      <c r="AM384">
        <f t="shared" si="19"/>
        <v>4.8785659527964917E-2</v>
      </c>
      <c r="AN384">
        <f t="shared" si="20"/>
        <v>8.7882692589994954E-2</v>
      </c>
    </row>
    <row r="385" spans="1:40" x14ac:dyDescent="0.2">
      <c r="A385" t="s">
        <v>91</v>
      </c>
      <c r="B385">
        <v>2016</v>
      </c>
      <c r="C385">
        <v>100.1800719139482</v>
      </c>
      <c r="D385">
        <v>41.539012073046813</v>
      </c>
      <c r="E385">
        <v>14.47847078567615</v>
      </c>
      <c r="F385">
        <v>2.7919757964976868</v>
      </c>
      <c r="G385">
        <v>5.1112867391674586</v>
      </c>
      <c r="H385">
        <v>2.35375615468962</v>
      </c>
      <c r="I385">
        <v>0.22006663234902951</v>
      </c>
      <c r="J385">
        <v>0.76373190000000002</v>
      </c>
      <c r="K385">
        <v>0.40799999999999997</v>
      </c>
      <c r="L385">
        <v>8.5</v>
      </c>
      <c r="M385">
        <v>0.19673887272416241</v>
      </c>
      <c r="N385">
        <v>220</v>
      </c>
      <c r="O385">
        <v>71</v>
      </c>
      <c r="P385">
        <v>42.206788299000003</v>
      </c>
      <c r="Q385">
        <v>44.734967760000004</v>
      </c>
      <c r="R385">
        <v>12.472970848999999</v>
      </c>
      <c r="S385">
        <v>0.57557452200000003</v>
      </c>
      <c r="T385">
        <v>9.6985699999976305E-3</v>
      </c>
      <c r="U385" t="s">
        <v>91</v>
      </c>
      <c r="X385">
        <v>5.22</v>
      </c>
      <c r="AA385">
        <v>1.79</v>
      </c>
      <c r="AD385">
        <v>760.28</v>
      </c>
      <c r="AF385">
        <v>80.81</v>
      </c>
      <c r="AH385">
        <v>3.69</v>
      </c>
      <c r="AI385">
        <v>11.29</v>
      </c>
      <c r="AK385" t="s">
        <v>134</v>
      </c>
      <c r="AL385">
        <f t="shared" si="18"/>
        <v>13.570780496819999</v>
      </c>
      <c r="AM385">
        <f t="shared" si="19"/>
        <v>5.3217703577773105E-2</v>
      </c>
      <c r="AN385">
        <f t="shared" si="20"/>
        <v>0.144524459895704</v>
      </c>
    </row>
    <row r="386" spans="1:40" x14ac:dyDescent="0.2">
      <c r="A386" t="s">
        <v>91</v>
      </c>
      <c r="B386">
        <v>2019</v>
      </c>
      <c r="C386">
        <v>90.319453034887403</v>
      </c>
      <c r="D386">
        <v>36.230309311668698</v>
      </c>
      <c r="E386">
        <v>10.120934863082271</v>
      </c>
      <c r="F386">
        <v>2.5762041943650411</v>
      </c>
      <c r="G386">
        <v>5.0001021566190982</v>
      </c>
      <c r="H386">
        <v>2.4629032168190661</v>
      </c>
      <c r="I386">
        <v>0.14301926673836199</v>
      </c>
      <c r="J386">
        <v>0.93215959999999998</v>
      </c>
      <c r="K386">
        <v>0.40100000000000002</v>
      </c>
      <c r="L386">
        <v>6.6</v>
      </c>
      <c r="M386">
        <v>0.17491406549322749</v>
      </c>
      <c r="N386">
        <v>202</v>
      </c>
      <c r="O386">
        <v>64</v>
      </c>
      <c r="P386">
        <v>41.638485797823371</v>
      </c>
      <c r="Q386">
        <v>44.113593266562788</v>
      </c>
      <c r="R386">
        <v>13.786084311733701</v>
      </c>
      <c r="S386">
        <v>0.44382792256574949</v>
      </c>
      <c r="T386">
        <v>1.8008701314400351E-2</v>
      </c>
      <c r="U386" t="s">
        <v>91</v>
      </c>
      <c r="V386">
        <v>2393.9910645871541</v>
      </c>
      <c r="W386">
        <v>27.13855162811485</v>
      </c>
      <c r="X386">
        <v>6.81</v>
      </c>
      <c r="AA386">
        <v>2.2200000000000002</v>
      </c>
      <c r="AD386">
        <v>758.18</v>
      </c>
      <c r="AF386">
        <v>75.650000000000006</v>
      </c>
      <c r="AH386">
        <v>3.97</v>
      </c>
      <c r="AI386">
        <v>11.53</v>
      </c>
      <c r="AK386" t="s">
        <v>134</v>
      </c>
      <c r="AL386">
        <f t="shared" si="18"/>
        <v>13.537674129700868</v>
      </c>
      <c r="AM386">
        <f t="shared" si="19"/>
        <v>5.6943673267937561E-2</v>
      </c>
      <c r="AN386">
        <f t="shared" si="20"/>
        <v>0.11205708762621591</v>
      </c>
    </row>
    <row r="387" spans="1:40" x14ac:dyDescent="0.2">
      <c r="A387" t="s">
        <v>92</v>
      </c>
      <c r="B387">
        <v>2022</v>
      </c>
      <c r="C387">
        <v>120.1145860242566</v>
      </c>
      <c r="D387">
        <v>50.727845029148348</v>
      </c>
      <c r="E387">
        <v>8.0665994244372303</v>
      </c>
      <c r="F387">
        <v>2.5010160377653419</v>
      </c>
      <c r="G387">
        <v>7.708723774296466</v>
      </c>
      <c r="H387">
        <v>2.669670079785702</v>
      </c>
      <c r="I387">
        <v>0.1069513437202284</v>
      </c>
      <c r="J387">
        <v>0.49379240000000002</v>
      </c>
      <c r="K387">
        <v>0.36299999999999999</v>
      </c>
      <c r="L387">
        <v>12.9</v>
      </c>
      <c r="M387">
        <v>0.14632177874893251</v>
      </c>
      <c r="N387">
        <v>270</v>
      </c>
      <c r="O387">
        <v>7</v>
      </c>
      <c r="P387">
        <v>28.69556215388916</v>
      </c>
      <c r="Q387">
        <v>50.706237364319257</v>
      </c>
      <c r="R387">
        <v>15.208265151085129</v>
      </c>
      <c r="S387">
        <v>5.3411247486993201</v>
      </c>
      <c r="T387">
        <v>4.8810582007135388E-2</v>
      </c>
      <c r="U387" t="s">
        <v>92</v>
      </c>
      <c r="V387">
        <v>919.59052300392398</v>
      </c>
      <c r="W387">
        <v>42.540126439732013</v>
      </c>
      <c r="AK387" t="s">
        <v>135</v>
      </c>
      <c r="AL387">
        <f t="shared" si="18"/>
        <v>13.051707997727467</v>
      </c>
      <c r="AM387">
        <f t="shared" si="19"/>
        <v>6.5068493150684914E-2</v>
      </c>
      <c r="AN387">
        <f t="shared" si="20"/>
        <v>6.7157534246575321E-2</v>
      </c>
    </row>
    <row r="388" spans="1:40" x14ac:dyDescent="0.2">
      <c r="A388" t="s">
        <v>92</v>
      </c>
      <c r="B388">
        <v>2021</v>
      </c>
      <c r="C388">
        <v>124.54955114815139</v>
      </c>
      <c r="D388">
        <v>51.588423250529942</v>
      </c>
      <c r="E388">
        <v>7.4652072492673609</v>
      </c>
      <c r="F388">
        <v>2.0875859198174949</v>
      </c>
      <c r="G388">
        <v>7.6447396383716661</v>
      </c>
      <c r="H388">
        <v>2.0458342014211448</v>
      </c>
      <c r="I388">
        <v>0.17535721726466949</v>
      </c>
      <c r="J388">
        <v>0.41312199999999999</v>
      </c>
      <c r="K388">
        <v>0.36299999999999999</v>
      </c>
      <c r="L388">
        <v>14.4</v>
      </c>
      <c r="M388">
        <v>0.1511767956295679</v>
      </c>
      <c r="N388">
        <v>274</v>
      </c>
      <c r="O388">
        <v>7</v>
      </c>
      <c r="P388">
        <v>31.932635637109868</v>
      </c>
      <c r="Q388">
        <v>48.93039913036155</v>
      </c>
      <c r="R388">
        <v>14.37838404409456</v>
      </c>
      <c r="S388">
        <v>4.661851116756158</v>
      </c>
      <c r="T388">
        <v>9.6730071677868068E-2</v>
      </c>
      <c r="U388" t="s">
        <v>92</v>
      </c>
      <c r="V388">
        <v>893.50971596825445</v>
      </c>
      <c r="W388">
        <v>38.07213345682112</v>
      </c>
      <c r="AK388" t="s">
        <v>135</v>
      </c>
      <c r="AL388">
        <f t="shared" si="18"/>
        <v>13.155905280739052</v>
      </c>
      <c r="AM388">
        <f t="shared" si="19"/>
        <v>6.2787033622741434E-2</v>
      </c>
      <c r="AN388">
        <f t="shared" si="20"/>
        <v>5.9937648754651185E-2</v>
      </c>
    </row>
    <row r="389" spans="1:40" x14ac:dyDescent="0.2">
      <c r="A389" t="s">
        <v>92</v>
      </c>
      <c r="B389">
        <v>2020</v>
      </c>
      <c r="C389">
        <v>126.1945707803187</v>
      </c>
      <c r="D389">
        <v>49.382817999954582</v>
      </c>
      <c r="E389">
        <v>5.995305329091476</v>
      </c>
      <c r="F389">
        <v>2.1346920489946921</v>
      </c>
      <c r="G389">
        <v>6.8004599703950834</v>
      </c>
      <c r="H389">
        <v>2.0066931060182212</v>
      </c>
      <c r="I389">
        <v>5.3676976086907101E-2</v>
      </c>
      <c r="J389">
        <v>0.34706740000000003</v>
      </c>
      <c r="K389">
        <v>0.36099999999999999</v>
      </c>
      <c r="L389">
        <v>15.2</v>
      </c>
      <c r="M389">
        <v>0.15662943284090419</v>
      </c>
      <c r="N389">
        <v>269</v>
      </c>
      <c r="O389">
        <v>7</v>
      </c>
      <c r="P389">
        <v>31.435460684999999</v>
      </c>
      <c r="Q389">
        <v>49.208769168000003</v>
      </c>
      <c r="R389">
        <v>14.924658543</v>
      </c>
      <c r="S389">
        <v>4.3496376059999999</v>
      </c>
      <c r="T389">
        <v>8.1473997999992775E-2</v>
      </c>
      <c r="U389" t="s">
        <v>92</v>
      </c>
      <c r="V389">
        <v>2791.1505498301631</v>
      </c>
      <c r="W389">
        <v>40.7147169520482</v>
      </c>
      <c r="AK389" t="s">
        <v>135</v>
      </c>
      <c r="AL389">
        <f t="shared" si="18"/>
        <v>13.148897878779998</v>
      </c>
      <c r="AM389">
        <f t="shared" si="19"/>
        <v>5.4314039852108767E-2</v>
      </c>
      <c r="AN389">
        <f t="shared" si="20"/>
        <v>4.7508425220037308E-2</v>
      </c>
    </row>
    <row r="390" spans="1:40" x14ac:dyDescent="0.2">
      <c r="A390" t="s">
        <v>92</v>
      </c>
      <c r="B390">
        <v>2019</v>
      </c>
      <c r="C390">
        <v>120.103326143112</v>
      </c>
      <c r="D390">
        <v>51.54016179022171</v>
      </c>
      <c r="E390">
        <v>4.977845514715372</v>
      </c>
      <c r="F390">
        <v>2.2451517218633938</v>
      </c>
      <c r="G390">
        <v>6.5756724700561078</v>
      </c>
      <c r="H390">
        <v>2.1304359404543161</v>
      </c>
      <c r="I390">
        <v>0.10242480482953439</v>
      </c>
      <c r="J390">
        <v>0.32595819999999998</v>
      </c>
      <c r="K390">
        <v>0.36199999999999999</v>
      </c>
      <c r="L390">
        <v>15.8</v>
      </c>
      <c r="M390">
        <v>0.16280076282244299</v>
      </c>
      <c r="N390">
        <v>209</v>
      </c>
      <c r="O390">
        <v>7</v>
      </c>
      <c r="P390">
        <v>32.363372199509087</v>
      </c>
      <c r="Q390">
        <v>47.761310147915218</v>
      </c>
      <c r="R390">
        <v>15.36597419590499</v>
      </c>
      <c r="S390">
        <v>4.4453938379475009</v>
      </c>
      <c r="T390">
        <v>6.3949618723185608E-2</v>
      </c>
      <c r="U390" t="s">
        <v>92</v>
      </c>
      <c r="V390">
        <v>2884.6146891374792</v>
      </c>
      <c r="W390">
        <v>40.747915502289977</v>
      </c>
      <c r="AK390" t="s">
        <v>135</v>
      </c>
      <c r="AL390">
        <f t="shared" si="18"/>
        <v>13.15637674086909</v>
      </c>
      <c r="AM390">
        <f t="shared" si="19"/>
        <v>5.5602933651714155E-2</v>
      </c>
      <c r="AN390">
        <f t="shared" si="20"/>
        <v>4.1446358519529262E-2</v>
      </c>
    </row>
    <row r="391" spans="1:40" x14ac:dyDescent="0.2">
      <c r="A391" t="s">
        <v>92</v>
      </c>
      <c r="B391">
        <v>2018</v>
      </c>
      <c r="C391">
        <v>117.87490610852841</v>
      </c>
      <c r="D391">
        <v>57.293083497431937</v>
      </c>
      <c r="E391">
        <v>5.4162691081832746</v>
      </c>
      <c r="F391">
        <v>2.3711402992346571</v>
      </c>
      <c r="G391">
        <v>6.4840942771879257</v>
      </c>
      <c r="H391">
        <v>2.6553523214031962</v>
      </c>
      <c r="I391">
        <v>0.1299254958484744</v>
      </c>
      <c r="J391">
        <v>0.30970130000000001</v>
      </c>
      <c r="K391">
        <v>0.36299999999999999</v>
      </c>
      <c r="L391">
        <v>15.6</v>
      </c>
      <c r="M391">
        <v>0.17043755375867919</v>
      </c>
      <c r="N391">
        <v>260</v>
      </c>
      <c r="O391">
        <v>7</v>
      </c>
      <c r="P391">
        <v>33.099248955999997</v>
      </c>
      <c r="Q391">
        <v>47.261233247</v>
      </c>
      <c r="R391">
        <v>15.769292102</v>
      </c>
      <c r="S391">
        <v>3.6644511689999999</v>
      </c>
      <c r="T391">
        <v>0.20577452599999899</v>
      </c>
      <c r="U391" t="s">
        <v>92</v>
      </c>
      <c r="V391">
        <v>2775.3361293755461</v>
      </c>
      <c r="W391">
        <v>38.727500327660991</v>
      </c>
      <c r="AK391" t="s">
        <v>135</v>
      </c>
      <c r="AL391">
        <f t="shared" si="18"/>
        <v>13.181501382980001</v>
      </c>
      <c r="AM391">
        <f t="shared" si="19"/>
        <v>5.6110498759988976E-2</v>
      </c>
      <c r="AN391">
        <f t="shared" si="20"/>
        <v>4.594929732708733E-2</v>
      </c>
    </row>
    <row r="392" spans="1:40" x14ac:dyDescent="0.2">
      <c r="A392" t="s">
        <v>92</v>
      </c>
      <c r="B392">
        <v>2017</v>
      </c>
      <c r="C392">
        <v>116.296798238184</v>
      </c>
      <c r="D392">
        <v>53.967716173374313</v>
      </c>
      <c r="E392">
        <v>5.001492380791043</v>
      </c>
      <c r="F392">
        <v>2.133701185031017</v>
      </c>
      <c r="G392">
        <v>6.4454716326645851</v>
      </c>
      <c r="H392">
        <v>2.4442777280317518</v>
      </c>
      <c r="I392">
        <v>0.12907077111718809</v>
      </c>
      <c r="J392">
        <v>0.29023310000000002</v>
      </c>
      <c r="K392">
        <v>0.35699999999999998</v>
      </c>
      <c r="L392">
        <v>16.8</v>
      </c>
      <c r="M392">
        <v>0.17745964207349099</v>
      </c>
      <c r="N392">
        <v>268</v>
      </c>
      <c r="O392">
        <v>7</v>
      </c>
      <c r="P392">
        <v>32.586134231000003</v>
      </c>
      <c r="Q392">
        <v>45.034765423000003</v>
      </c>
      <c r="R392">
        <v>17.690923123000001</v>
      </c>
      <c r="S392">
        <v>4.4590130769999998</v>
      </c>
      <c r="T392">
        <v>0.22916414600000221</v>
      </c>
      <c r="U392" t="s">
        <v>92</v>
      </c>
      <c r="V392">
        <v>2893.985718201493</v>
      </c>
      <c r="W392">
        <v>42.233291852830597</v>
      </c>
      <c r="AK392" t="s">
        <v>135</v>
      </c>
      <c r="AL392">
        <f t="shared" si="18"/>
        <v>13.098918925940005</v>
      </c>
      <c r="AM392">
        <f t="shared" si="19"/>
        <v>5.6532445461797233E-2</v>
      </c>
      <c r="AN392">
        <f t="shared" si="20"/>
        <v>4.300627752921999E-2</v>
      </c>
    </row>
    <row r="393" spans="1:40" x14ac:dyDescent="0.2">
      <c r="A393" t="s">
        <v>92</v>
      </c>
      <c r="B393">
        <v>2016</v>
      </c>
      <c r="C393">
        <v>100.6058622834146</v>
      </c>
      <c r="D393">
        <v>53.498873781973998</v>
      </c>
      <c r="E393">
        <v>4.7758237190400594</v>
      </c>
      <c r="F393">
        <v>1.933645798702246</v>
      </c>
      <c r="G393">
        <v>5.7928972888356274</v>
      </c>
      <c r="H393">
        <v>2.6210749703822551</v>
      </c>
      <c r="I393">
        <v>0.26934359358222559</v>
      </c>
      <c r="J393">
        <v>0.2783774</v>
      </c>
      <c r="K393">
        <v>0.36399999999999999</v>
      </c>
      <c r="L393">
        <v>17</v>
      </c>
      <c r="M393">
        <v>0.18480732015846679</v>
      </c>
      <c r="N393">
        <v>273</v>
      </c>
      <c r="O393">
        <v>7</v>
      </c>
      <c r="P393">
        <v>34.143163682999997</v>
      </c>
      <c r="Q393">
        <v>45.528352300000002</v>
      </c>
      <c r="R393">
        <v>15.933465446</v>
      </c>
      <c r="S393">
        <v>4.2823199550000002</v>
      </c>
      <c r="T393">
        <v>0.1126986159999888</v>
      </c>
      <c r="U393" t="s">
        <v>92</v>
      </c>
      <c r="AK393" t="s">
        <v>135</v>
      </c>
      <c r="AL393">
        <f t="shared" si="18"/>
        <v>13.182758291099999</v>
      </c>
      <c r="AM393">
        <f t="shared" si="19"/>
        <v>6.0257332374330681E-2</v>
      </c>
      <c r="AN393">
        <f t="shared" si="20"/>
        <v>4.7470630544233991E-2</v>
      </c>
    </row>
    <row r="394" spans="1:40" x14ac:dyDescent="0.2">
      <c r="A394" t="s">
        <v>93</v>
      </c>
      <c r="B394">
        <v>2021</v>
      </c>
      <c r="C394">
        <v>132.4377196475252</v>
      </c>
      <c r="D394">
        <v>74.279179324032981</v>
      </c>
      <c r="E394">
        <v>6.7109924834847474</v>
      </c>
      <c r="F394">
        <v>3.7882992471264409</v>
      </c>
      <c r="G394">
        <v>8.7782633092015967</v>
      </c>
      <c r="H394">
        <v>5.753734071576452</v>
      </c>
      <c r="I394">
        <v>0.31569160392720352</v>
      </c>
      <c r="J394">
        <v>1.6848392999999999</v>
      </c>
      <c r="K394">
        <v>0.39900000000000002</v>
      </c>
      <c r="L394">
        <v>16.3</v>
      </c>
      <c r="M394">
        <v>0.19148321956625011</v>
      </c>
      <c r="N394">
        <v>194</v>
      </c>
      <c r="O394">
        <v>2</v>
      </c>
      <c r="P394">
        <v>34.153487662953701</v>
      </c>
      <c r="Q394">
        <v>38.543891429302981</v>
      </c>
      <c r="R394">
        <v>23.724574966834339</v>
      </c>
      <c r="S394">
        <v>3.184581642152696</v>
      </c>
      <c r="T394">
        <v>0.3934642987562853</v>
      </c>
      <c r="U394" t="s">
        <v>125</v>
      </c>
      <c r="V394">
        <v>882.09407283698715</v>
      </c>
      <c r="W394">
        <v>32.25345308639978</v>
      </c>
      <c r="X394">
        <v>-7.86</v>
      </c>
      <c r="AA394">
        <v>-14.2</v>
      </c>
      <c r="AD394">
        <v>760.32</v>
      </c>
      <c r="AF394">
        <v>64.3</v>
      </c>
      <c r="AH394">
        <v>2.2999999999999998</v>
      </c>
      <c r="AI394">
        <v>11.68</v>
      </c>
      <c r="AK394" t="s">
        <v>133</v>
      </c>
      <c r="AL394">
        <f t="shared" si="18"/>
        <v>13.045783201348215</v>
      </c>
      <c r="AM394">
        <f t="shared" si="19"/>
        <v>6.8665897731641709E-2</v>
      </c>
      <c r="AN394">
        <f t="shared" si="20"/>
        <v>5.0672818146866611E-2</v>
      </c>
    </row>
    <row r="395" spans="1:40" x14ac:dyDescent="0.2">
      <c r="A395" t="s">
        <v>93</v>
      </c>
      <c r="B395">
        <v>2022</v>
      </c>
      <c r="C395">
        <v>130.28232179132181</v>
      </c>
      <c r="D395">
        <v>71.354625473400858</v>
      </c>
      <c r="E395">
        <v>5.8526827635486098</v>
      </c>
      <c r="F395">
        <v>3.8884262196179118</v>
      </c>
      <c r="G395">
        <v>7.0051802255487639</v>
      </c>
      <c r="H395">
        <v>4.429598940904941</v>
      </c>
      <c r="I395">
        <v>0.6714550430783508</v>
      </c>
      <c r="J395">
        <v>2.0297198000000001</v>
      </c>
      <c r="K395">
        <v>0.40600000000000003</v>
      </c>
      <c r="L395">
        <v>15.2</v>
      </c>
      <c r="M395">
        <v>0.19077641248585681</v>
      </c>
      <c r="N395">
        <v>120</v>
      </c>
      <c r="O395">
        <v>2</v>
      </c>
      <c r="P395">
        <v>32.403276825538832</v>
      </c>
      <c r="Q395">
        <v>40.699258769542759</v>
      </c>
      <c r="R395">
        <v>22.63106241049665</v>
      </c>
      <c r="S395">
        <v>4.1040789952963008</v>
      </c>
      <c r="T395">
        <v>0.16232299912545051</v>
      </c>
      <c r="U395" t="s">
        <v>125</v>
      </c>
      <c r="V395">
        <v>901.40943899841875</v>
      </c>
      <c r="W395">
        <v>32.486515139584718</v>
      </c>
      <c r="X395">
        <v>-7.41</v>
      </c>
      <c r="AA395">
        <v>-12.74</v>
      </c>
      <c r="AD395">
        <v>759.58</v>
      </c>
      <c r="AF395">
        <v>68.56</v>
      </c>
      <c r="AH395">
        <v>2.25</v>
      </c>
      <c r="AI395">
        <v>12.48</v>
      </c>
      <c r="AK395" t="s">
        <v>133</v>
      </c>
      <c r="AL395">
        <f t="shared" si="18"/>
        <v>13.016672058567702</v>
      </c>
      <c r="AM395">
        <f t="shared" si="19"/>
        <v>5.8923076923076911E-2</v>
      </c>
      <c r="AN395">
        <f t="shared" si="20"/>
        <v>4.492307692307692E-2</v>
      </c>
    </row>
    <row r="396" spans="1:40" x14ac:dyDescent="0.2">
      <c r="A396" t="s">
        <v>93</v>
      </c>
      <c r="B396">
        <v>2020</v>
      </c>
      <c r="C396">
        <v>124.959361972683</v>
      </c>
      <c r="D396">
        <v>75.576442701410286</v>
      </c>
      <c r="E396">
        <v>5.5658665261996969</v>
      </c>
      <c r="F396">
        <v>3.1481611035436359</v>
      </c>
      <c r="G396">
        <v>6.4403557216284844</v>
      </c>
      <c r="H396">
        <v>2.8909583990057581</v>
      </c>
      <c r="I396">
        <v>0.1440335145412121</v>
      </c>
      <c r="J396">
        <v>1.1544839</v>
      </c>
      <c r="K396">
        <v>0.39600000000000002</v>
      </c>
      <c r="L396">
        <v>17.3</v>
      </c>
      <c r="M396">
        <v>0.1934921093207688</v>
      </c>
      <c r="N396">
        <v>188</v>
      </c>
      <c r="O396">
        <v>2</v>
      </c>
      <c r="P396">
        <v>34.544751523000002</v>
      </c>
      <c r="Q396">
        <v>40.446020183999998</v>
      </c>
      <c r="R396">
        <v>21.335939322000002</v>
      </c>
      <c r="S396">
        <v>3.1894005519999999</v>
      </c>
      <c r="T396">
        <v>0.48388841900001012</v>
      </c>
      <c r="U396" t="s">
        <v>125</v>
      </c>
      <c r="V396">
        <v>2616.354407669518</v>
      </c>
      <c r="W396">
        <v>32.701091305293147</v>
      </c>
      <c r="X396">
        <v>-6.57</v>
      </c>
      <c r="AA396">
        <v>-12.94</v>
      </c>
      <c r="AD396">
        <v>760.18</v>
      </c>
      <c r="AF396">
        <v>65.22</v>
      </c>
      <c r="AH396">
        <v>2.29</v>
      </c>
      <c r="AI396">
        <v>11.52</v>
      </c>
      <c r="AK396" t="s">
        <v>133</v>
      </c>
      <c r="AL396">
        <f t="shared" si="18"/>
        <v>13.093050264230001</v>
      </c>
      <c r="AM396">
        <f t="shared" si="19"/>
        <v>5.2692244360283226E-2</v>
      </c>
      <c r="AN396">
        <f t="shared" si="20"/>
        <v>4.4541412810801921E-2</v>
      </c>
    </row>
    <row r="397" spans="1:40" x14ac:dyDescent="0.2">
      <c r="A397" t="s">
        <v>93</v>
      </c>
      <c r="B397">
        <v>2018</v>
      </c>
      <c r="C397">
        <v>123.7750562566756</v>
      </c>
      <c r="D397">
        <v>78.666016819968263</v>
      </c>
      <c r="E397">
        <v>6.8337602273080789</v>
      </c>
      <c r="F397">
        <v>3.0176391899038721</v>
      </c>
      <c r="G397">
        <v>6.1182375327947902</v>
      </c>
      <c r="H397">
        <v>3.3183661194819201</v>
      </c>
      <c r="I397">
        <v>3.1109682370142999E-2</v>
      </c>
      <c r="J397">
        <v>1.1619444999999999</v>
      </c>
      <c r="K397">
        <v>0.40500000000000003</v>
      </c>
      <c r="L397">
        <v>18.600000000000001</v>
      </c>
      <c r="M397">
        <v>0.2036547132682206</v>
      </c>
      <c r="N397">
        <v>200</v>
      </c>
      <c r="O397">
        <v>2</v>
      </c>
      <c r="P397">
        <v>30.987823412000001</v>
      </c>
      <c r="Q397">
        <v>39.777928836000001</v>
      </c>
      <c r="R397">
        <v>25.170354098000001</v>
      </c>
      <c r="S397">
        <v>3.7671194520000002</v>
      </c>
      <c r="T397">
        <v>0.2967742019999946</v>
      </c>
      <c r="U397" t="s">
        <v>125</v>
      </c>
      <c r="V397">
        <v>2642.4607248265102</v>
      </c>
      <c r="W397">
        <v>31.390144838211771</v>
      </c>
      <c r="X397">
        <v>-7.56</v>
      </c>
      <c r="AA397">
        <v>-13.59</v>
      </c>
      <c r="AD397">
        <v>760.25</v>
      </c>
      <c r="AF397">
        <v>66.319999999999993</v>
      </c>
      <c r="AH397">
        <v>2.04</v>
      </c>
      <c r="AI397">
        <v>12.11</v>
      </c>
      <c r="AK397" t="s">
        <v>133</v>
      </c>
      <c r="AL397">
        <f t="shared" si="18"/>
        <v>12.938954930020001</v>
      </c>
      <c r="AM397">
        <f t="shared" si="19"/>
        <v>4.9681635388739959E-2</v>
      </c>
      <c r="AN397">
        <f t="shared" si="20"/>
        <v>5.5211126005361939E-2</v>
      </c>
    </row>
    <row r="398" spans="1:40" x14ac:dyDescent="0.2">
      <c r="A398" t="s">
        <v>93</v>
      </c>
      <c r="B398">
        <v>2019</v>
      </c>
      <c r="C398">
        <v>128.0960156523879</v>
      </c>
      <c r="D398">
        <v>80.092325924577736</v>
      </c>
      <c r="E398">
        <v>5.0568298743858646</v>
      </c>
      <c r="F398">
        <v>3.0299614584766021</v>
      </c>
      <c r="G398">
        <v>5.8841231053692358</v>
      </c>
      <c r="H398">
        <v>3.391902247031827</v>
      </c>
      <c r="I398">
        <v>7.2388157711044995E-2</v>
      </c>
      <c r="J398">
        <v>1.2603731</v>
      </c>
      <c r="K398">
        <v>0.40400000000000003</v>
      </c>
      <c r="L398">
        <v>17.8</v>
      </c>
      <c r="M398">
        <v>0.19752645411411779</v>
      </c>
      <c r="N398">
        <v>144</v>
      </c>
      <c r="O398">
        <v>2</v>
      </c>
      <c r="P398">
        <v>35.049071244954909</v>
      </c>
      <c r="Q398">
        <v>41.638695275021888</v>
      </c>
      <c r="R398">
        <v>19.398728705827541</v>
      </c>
      <c r="S398">
        <v>3.3286707383901302</v>
      </c>
      <c r="T398">
        <v>0.58483403580551396</v>
      </c>
      <c r="U398" t="s">
        <v>125</v>
      </c>
      <c r="V398">
        <v>2675.280717940997</v>
      </c>
      <c r="W398">
        <v>29.162971247561622</v>
      </c>
      <c r="X398">
        <v>-7.29</v>
      </c>
      <c r="AA398">
        <v>-13.38</v>
      </c>
      <c r="AD398">
        <v>759.46</v>
      </c>
      <c r="AF398">
        <v>66.069999999999993</v>
      </c>
      <c r="AH398">
        <v>2.36</v>
      </c>
      <c r="AI398">
        <v>11.08</v>
      </c>
      <c r="AK398" t="s">
        <v>133</v>
      </c>
      <c r="AL398">
        <f t="shared" si="18"/>
        <v>13.127224958024442</v>
      </c>
      <c r="AM398">
        <f t="shared" si="19"/>
        <v>4.6500363284088159E-2</v>
      </c>
      <c r="AN398">
        <f t="shared" si="20"/>
        <v>3.9476870913054019E-2</v>
      </c>
    </row>
    <row r="399" spans="1:40" x14ac:dyDescent="0.2">
      <c r="A399" t="s">
        <v>93</v>
      </c>
      <c r="B399">
        <v>2017</v>
      </c>
      <c r="C399">
        <v>128.7759584975619</v>
      </c>
      <c r="D399">
        <v>82.630980386047455</v>
      </c>
      <c r="E399">
        <v>5.4214896633379563</v>
      </c>
      <c r="F399">
        <v>3.3650625496580409</v>
      </c>
      <c r="G399">
        <v>5.1722257707706927</v>
      </c>
      <c r="H399">
        <v>3.209272616803502</v>
      </c>
      <c r="I399">
        <v>5.19299776181796E-2</v>
      </c>
      <c r="J399">
        <v>0.97401730000000009</v>
      </c>
      <c r="K399">
        <v>0.39600000000000002</v>
      </c>
      <c r="L399">
        <v>19.600000000000001</v>
      </c>
      <c r="M399">
        <v>0.20949482174958309</v>
      </c>
      <c r="N399">
        <v>194</v>
      </c>
      <c r="O399">
        <v>7</v>
      </c>
      <c r="P399">
        <v>32.626329634000001</v>
      </c>
      <c r="Q399">
        <v>39.496609392000003</v>
      </c>
      <c r="R399">
        <v>23.732558288</v>
      </c>
      <c r="S399">
        <v>3.8554662190000002</v>
      </c>
      <c r="T399">
        <v>0.28903646699998831</v>
      </c>
      <c r="U399" t="s">
        <v>125</v>
      </c>
      <c r="V399">
        <v>2580.817126763021</v>
      </c>
      <c r="W399">
        <v>30.61639977444036</v>
      </c>
      <c r="X399">
        <v>-14.39</v>
      </c>
      <c r="AA399">
        <v>-19.04</v>
      </c>
      <c r="AD399">
        <v>761.73</v>
      </c>
      <c r="AF399">
        <v>70.11</v>
      </c>
      <c r="AH399">
        <v>1.93</v>
      </c>
      <c r="AI399">
        <v>11.34</v>
      </c>
      <c r="AK399" t="s">
        <v>133</v>
      </c>
      <c r="AL399">
        <f t="shared" si="18"/>
        <v>12.997643496129999</v>
      </c>
      <c r="AM399">
        <f t="shared" si="19"/>
        <v>4.0567787724816513E-2</v>
      </c>
      <c r="AN399">
        <f t="shared" si="20"/>
        <v>4.2100169368497461E-2</v>
      </c>
    </row>
    <row r="400" spans="1:40" x14ac:dyDescent="0.2">
      <c r="A400" t="s">
        <v>93</v>
      </c>
      <c r="B400">
        <v>2016</v>
      </c>
      <c r="C400">
        <v>128.9480237868726</v>
      </c>
      <c r="D400">
        <v>80.609447435575476</v>
      </c>
      <c r="E400">
        <v>5.4080019673039912</v>
      </c>
      <c r="F400">
        <v>3.6157546871955399</v>
      </c>
      <c r="G400">
        <v>5.1058207398438453</v>
      </c>
      <c r="H400">
        <v>2.875931682034492</v>
      </c>
      <c r="I400">
        <v>0.20840084652423849</v>
      </c>
      <c r="J400">
        <v>0.92229209999999995</v>
      </c>
      <c r="K400">
        <v>0.39400000000000002</v>
      </c>
      <c r="L400">
        <v>19.8</v>
      </c>
      <c r="M400">
        <v>0.2168624880133232</v>
      </c>
      <c r="N400">
        <v>192</v>
      </c>
      <c r="O400">
        <v>7</v>
      </c>
      <c r="P400">
        <v>30.291147769999998</v>
      </c>
      <c r="Q400">
        <v>42.493910989</v>
      </c>
      <c r="R400">
        <v>24.228066845000001</v>
      </c>
      <c r="S400">
        <v>2.7850728679999999</v>
      </c>
      <c r="T400">
        <v>0.20180152800000431</v>
      </c>
      <c r="U400" t="s">
        <v>125</v>
      </c>
      <c r="X400">
        <v>-10.02</v>
      </c>
      <c r="AA400">
        <v>-15.73</v>
      </c>
      <c r="AD400">
        <v>761</v>
      </c>
      <c r="AF400">
        <v>66.63</v>
      </c>
      <c r="AH400">
        <v>2.2799999999999998</v>
      </c>
      <c r="AI400">
        <v>12.44</v>
      </c>
      <c r="AK400" t="s">
        <v>133</v>
      </c>
      <c r="AL400">
        <f t="shared" si="18"/>
        <v>12.99169656626</v>
      </c>
      <c r="AM400">
        <f t="shared" si="19"/>
        <v>4.1212121212121221E-2</v>
      </c>
      <c r="AN400">
        <f t="shared" si="20"/>
        <v>4.193939393939395E-2</v>
      </c>
    </row>
    <row r="401" spans="1:40" x14ac:dyDescent="0.2">
      <c r="A401" t="s">
        <v>94</v>
      </c>
      <c r="B401">
        <v>2017</v>
      </c>
      <c r="C401">
        <v>234.92645851800779</v>
      </c>
      <c r="D401">
        <v>100.66811123149149</v>
      </c>
      <c r="E401">
        <v>12.578384057257299</v>
      </c>
      <c r="F401">
        <v>4.8220558783939067</v>
      </c>
      <c r="G401">
        <v>10.157096424702059</v>
      </c>
      <c r="H401">
        <v>5.6428313470567</v>
      </c>
      <c r="I401">
        <v>0.63610098821366423</v>
      </c>
      <c r="J401">
        <v>1.6430905</v>
      </c>
      <c r="K401">
        <v>0.41499999999999998</v>
      </c>
      <c r="L401">
        <v>9</v>
      </c>
      <c r="M401">
        <v>0.1724791317813841</v>
      </c>
      <c r="N401">
        <v>86</v>
      </c>
      <c r="O401">
        <v>2</v>
      </c>
      <c r="P401">
        <v>29.921132146000001</v>
      </c>
      <c r="Q401">
        <v>43.621893645</v>
      </c>
      <c r="R401">
        <v>20.984097544000001</v>
      </c>
      <c r="S401">
        <v>4.4961133279999999</v>
      </c>
      <c r="T401">
        <v>0.97676333699999418</v>
      </c>
      <c r="U401" t="s">
        <v>94</v>
      </c>
      <c r="V401">
        <v>2427.096240993314</v>
      </c>
      <c r="W401">
        <v>30.011354949405931</v>
      </c>
      <c r="AK401" t="s">
        <v>133</v>
      </c>
      <c r="AL401">
        <f t="shared" si="18"/>
        <v>12.910987458589998</v>
      </c>
      <c r="AM401">
        <f t="shared" si="19"/>
        <v>4.5942877107170939E-2</v>
      </c>
      <c r="AN401">
        <f t="shared" si="20"/>
        <v>5.3541794043147892E-2</v>
      </c>
    </row>
    <row r="402" spans="1:40" x14ac:dyDescent="0.2">
      <c r="A402" t="s">
        <v>94</v>
      </c>
      <c r="B402">
        <v>2016</v>
      </c>
      <c r="C402">
        <v>251.34775176331291</v>
      </c>
      <c r="D402">
        <v>106.4041552002594</v>
      </c>
      <c r="E402">
        <v>12.1077052204731</v>
      </c>
      <c r="F402">
        <v>5.130383567997078</v>
      </c>
      <c r="G402">
        <v>9.8503364505543871</v>
      </c>
      <c r="H402">
        <v>5.1509051022690659</v>
      </c>
      <c r="I402">
        <v>0.65668909670362596</v>
      </c>
      <c r="J402">
        <v>1.5984803999999999</v>
      </c>
      <c r="K402">
        <v>0.41399999999999998</v>
      </c>
      <c r="L402">
        <v>9.6999999999999993</v>
      </c>
      <c r="M402">
        <v>0.18021831189447979</v>
      </c>
      <c r="N402">
        <v>67</v>
      </c>
      <c r="O402">
        <v>2</v>
      </c>
      <c r="P402">
        <v>28.789380377000001</v>
      </c>
      <c r="Q402">
        <v>44.571584201</v>
      </c>
      <c r="R402">
        <v>21.844480147999999</v>
      </c>
      <c r="S402">
        <v>4.6373305680000003</v>
      </c>
      <c r="T402">
        <v>0.15722470600000801</v>
      </c>
      <c r="U402" t="s">
        <v>94</v>
      </c>
      <c r="AK402" t="s">
        <v>133</v>
      </c>
      <c r="AL402">
        <f t="shared" si="18"/>
        <v>12.939254558320002</v>
      </c>
      <c r="AM402">
        <f t="shared" si="19"/>
        <v>4.1802743305029373E-2</v>
      </c>
      <c r="AN402">
        <f t="shared" si="20"/>
        <v>4.8171129980404938E-2</v>
      </c>
    </row>
    <row r="403" spans="1:40" x14ac:dyDescent="0.2">
      <c r="A403" t="s">
        <v>94</v>
      </c>
      <c r="B403">
        <v>2022</v>
      </c>
      <c r="C403">
        <v>182.63595767463721</v>
      </c>
      <c r="D403">
        <v>96.521740996418515</v>
      </c>
      <c r="E403">
        <v>6.8668201687091894</v>
      </c>
      <c r="F403">
        <v>4.0986332881982968</v>
      </c>
      <c r="G403">
        <v>8.8195721541858632</v>
      </c>
      <c r="H403">
        <v>5.2788680046951892</v>
      </c>
      <c r="I403">
        <v>0.75105845595256748</v>
      </c>
      <c r="J403">
        <v>3.303417</v>
      </c>
      <c r="K403">
        <v>0.40799999999999997</v>
      </c>
      <c r="L403">
        <v>6.3</v>
      </c>
      <c r="M403">
        <v>0.1406839782064295</v>
      </c>
      <c r="N403">
        <v>81</v>
      </c>
      <c r="O403">
        <v>1</v>
      </c>
      <c r="P403">
        <v>28.617673076039271</v>
      </c>
      <c r="Q403">
        <v>44.924291132077698</v>
      </c>
      <c r="R403">
        <v>19.997985213725961</v>
      </c>
      <c r="S403">
        <v>5.8278529953374978</v>
      </c>
      <c r="T403">
        <v>0.63219758281958605</v>
      </c>
      <c r="U403" t="s">
        <v>94</v>
      </c>
      <c r="V403">
        <v>712.72798399517467</v>
      </c>
      <c r="W403">
        <v>31.797547888339611</v>
      </c>
      <c r="AK403" t="s">
        <v>133</v>
      </c>
      <c r="AL403">
        <f t="shared" si="18"/>
        <v>12.882381854979005</v>
      </c>
      <c r="AM403">
        <f t="shared" si="19"/>
        <v>5.2402772882152497E-2</v>
      </c>
      <c r="AN403">
        <f t="shared" si="20"/>
        <v>3.7598402067912116E-2</v>
      </c>
    </row>
    <row r="404" spans="1:40" x14ac:dyDescent="0.2">
      <c r="A404" t="s">
        <v>94</v>
      </c>
      <c r="B404">
        <v>2021</v>
      </c>
      <c r="C404">
        <v>182.77628026794559</v>
      </c>
      <c r="D404">
        <v>93.262029442713555</v>
      </c>
      <c r="E404">
        <v>7.9074010390819183</v>
      </c>
      <c r="F404">
        <v>4.1596224216003836</v>
      </c>
      <c r="G404">
        <v>7.7838478978462629</v>
      </c>
      <c r="H404">
        <v>4.2419911824241536</v>
      </c>
      <c r="I404">
        <v>0.63835789638421736</v>
      </c>
      <c r="J404">
        <v>2.6472338999999998</v>
      </c>
      <c r="K404">
        <v>0.40500000000000003</v>
      </c>
      <c r="L404">
        <v>7.1</v>
      </c>
      <c r="M404">
        <v>0.14455461579605719</v>
      </c>
      <c r="N404">
        <v>79</v>
      </c>
      <c r="O404">
        <v>1</v>
      </c>
      <c r="P404">
        <v>29.444081406451961</v>
      </c>
      <c r="Q404">
        <v>44.162916998925169</v>
      </c>
      <c r="R404">
        <v>20.494731099784271</v>
      </c>
      <c r="S404">
        <v>5.0276595028644273</v>
      </c>
      <c r="T404">
        <v>0.87061099197417491</v>
      </c>
      <c r="U404" t="s">
        <v>94</v>
      </c>
      <c r="V404">
        <v>1023.424947439589</v>
      </c>
      <c r="W404">
        <v>33.231212457079891</v>
      </c>
      <c r="AK404" t="s">
        <v>133</v>
      </c>
      <c r="AL404">
        <f t="shared" si="18"/>
        <v>12.899525636741103</v>
      </c>
      <c r="AM404">
        <f t="shared" si="19"/>
        <v>4.6079315006759797E-2</v>
      </c>
      <c r="AN404">
        <f t="shared" si="20"/>
        <v>4.3262730959891839E-2</v>
      </c>
    </row>
    <row r="405" spans="1:40" x14ac:dyDescent="0.2">
      <c r="A405" t="s">
        <v>94</v>
      </c>
      <c r="B405">
        <v>2020</v>
      </c>
      <c r="C405">
        <v>184.08338231709939</v>
      </c>
      <c r="D405">
        <v>85.794980921932506</v>
      </c>
      <c r="E405">
        <v>6.3695963396326114</v>
      </c>
      <c r="F405">
        <v>3.6865830904626051</v>
      </c>
      <c r="G405">
        <v>6.9021027860327653</v>
      </c>
      <c r="H405">
        <v>3.6251400389548949</v>
      </c>
      <c r="I405">
        <v>0.49154441206168059</v>
      </c>
      <c r="J405">
        <v>2.1246450000000001</v>
      </c>
      <c r="K405">
        <v>0.40699999999999997</v>
      </c>
      <c r="L405">
        <v>7.5</v>
      </c>
      <c r="M405">
        <v>0.15085241367662111</v>
      </c>
      <c r="N405">
        <v>80</v>
      </c>
      <c r="O405">
        <v>1</v>
      </c>
      <c r="P405">
        <v>26.973126328999999</v>
      </c>
      <c r="Q405">
        <v>45.150422286000001</v>
      </c>
      <c r="R405">
        <v>22.314171476999999</v>
      </c>
      <c r="S405">
        <v>4.9092874889999996</v>
      </c>
      <c r="T405">
        <v>0.65299241900000027</v>
      </c>
      <c r="U405" t="s">
        <v>94</v>
      </c>
      <c r="V405">
        <v>2660.8718094091341</v>
      </c>
      <c r="W405">
        <v>34.383741246096598</v>
      </c>
      <c r="AK405" t="s">
        <v>133</v>
      </c>
      <c r="AL405">
        <f t="shared" si="18"/>
        <v>12.83803827977</v>
      </c>
      <c r="AM405">
        <f t="shared" si="19"/>
        <v>4.0164663996439698E-2</v>
      </c>
      <c r="AN405">
        <f t="shared" si="20"/>
        <v>3.4601691143747219E-2</v>
      </c>
    </row>
    <row r="406" spans="1:40" x14ac:dyDescent="0.2">
      <c r="A406" t="s">
        <v>94</v>
      </c>
      <c r="B406">
        <v>2018</v>
      </c>
      <c r="C406">
        <v>203.924672722933</v>
      </c>
      <c r="D406">
        <v>99.616264196286679</v>
      </c>
      <c r="E406">
        <v>8.9558754827298479</v>
      </c>
      <c r="F406">
        <v>3.855718601904194</v>
      </c>
      <c r="G406">
        <v>6.2221913946072984</v>
      </c>
      <c r="H406">
        <v>4.8349487230227206</v>
      </c>
      <c r="I406">
        <v>0.3060094128495392</v>
      </c>
      <c r="J406">
        <v>2.5837235000000001</v>
      </c>
      <c r="K406">
        <v>0.42099999999999999</v>
      </c>
      <c r="L406">
        <v>8.3000000000000007</v>
      </c>
      <c r="M406">
        <v>0.1652628740224146</v>
      </c>
      <c r="N406">
        <v>81</v>
      </c>
      <c r="O406">
        <v>2</v>
      </c>
      <c r="P406">
        <v>29.391393643000001</v>
      </c>
      <c r="Q406">
        <v>44.436104924000013</v>
      </c>
      <c r="R406">
        <v>21.359858274</v>
      </c>
      <c r="S406">
        <v>4.5171870209999998</v>
      </c>
      <c r="T406">
        <v>0.2954561379999916</v>
      </c>
      <c r="U406" t="s">
        <v>94</v>
      </c>
      <c r="V406">
        <v>2402.217723853179</v>
      </c>
      <c r="W406">
        <v>25.507583079429381</v>
      </c>
      <c r="AK406" t="s">
        <v>133</v>
      </c>
      <c r="AL406">
        <f t="shared" si="18"/>
        <v>12.953352174120001</v>
      </c>
      <c r="AM406">
        <f t="shared" si="19"/>
        <v>3.2012805122048814E-2</v>
      </c>
      <c r="AN406">
        <f t="shared" si="20"/>
        <v>4.3917567026810711E-2</v>
      </c>
    </row>
    <row r="407" spans="1:40" x14ac:dyDescent="0.2">
      <c r="A407" t="s">
        <v>94</v>
      </c>
      <c r="B407">
        <v>2019</v>
      </c>
      <c r="C407">
        <v>193.5103076150136</v>
      </c>
      <c r="D407">
        <v>85.961465409138995</v>
      </c>
      <c r="E407">
        <v>9.3946956731299434</v>
      </c>
      <c r="F407">
        <v>3.696608514862</v>
      </c>
      <c r="G407">
        <v>5.9023196729012053</v>
      </c>
      <c r="H407">
        <v>3.104334222425547</v>
      </c>
      <c r="I407">
        <v>0.38804177780319338</v>
      </c>
      <c r="J407">
        <v>2.4681717000000001</v>
      </c>
      <c r="K407">
        <v>0.42199999999999999</v>
      </c>
      <c r="L407">
        <v>8</v>
      </c>
      <c r="M407">
        <v>0.1584169435006656</v>
      </c>
      <c r="N407">
        <v>61</v>
      </c>
      <c r="O407">
        <v>1</v>
      </c>
      <c r="P407">
        <v>26.565140135260709</v>
      </c>
      <c r="Q407">
        <v>44.124673799681261</v>
      </c>
      <c r="R407">
        <v>22.789035366265541</v>
      </c>
      <c r="S407">
        <v>5.8851307949668916</v>
      </c>
      <c r="T407">
        <v>0.63601990382558427</v>
      </c>
      <c r="U407" t="s">
        <v>94</v>
      </c>
      <c r="V407">
        <v>2523.8387025464449</v>
      </c>
      <c r="W407">
        <v>31.79234450659732</v>
      </c>
      <c r="AK407" t="s">
        <v>133</v>
      </c>
      <c r="AL407">
        <f t="shared" si="18"/>
        <v>12.782875072236923</v>
      </c>
      <c r="AM407">
        <f t="shared" si="19"/>
        <v>3.25065963060686E-2</v>
      </c>
      <c r="AN407">
        <f t="shared" si="20"/>
        <v>4.8548812664907626E-2</v>
      </c>
    </row>
    <row r="408" spans="1:40" x14ac:dyDescent="0.2">
      <c r="A408" t="s">
        <v>95</v>
      </c>
      <c r="B408">
        <v>2021</v>
      </c>
      <c r="C408">
        <v>127.0003475470197</v>
      </c>
      <c r="D408">
        <v>61.260115518009393</v>
      </c>
      <c r="E408">
        <v>10.01849155269603</v>
      </c>
      <c r="F408">
        <v>3.230718774322173</v>
      </c>
      <c r="G408">
        <v>6.3961705026984426</v>
      </c>
      <c r="H408">
        <v>3.5803636633180789</v>
      </c>
      <c r="I408">
        <v>0.20745596747090431</v>
      </c>
      <c r="J408">
        <v>0.72112480000000001</v>
      </c>
      <c r="K408">
        <v>0.39600000000000002</v>
      </c>
      <c r="L408">
        <v>8.6</v>
      </c>
      <c r="M408">
        <v>0.1450324714002928</v>
      </c>
      <c r="N408">
        <v>578</v>
      </c>
      <c r="O408">
        <v>24</v>
      </c>
      <c r="P408">
        <v>29.22171881127764</v>
      </c>
      <c r="Q408">
        <v>48.294430318400742</v>
      </c>
      <c r="R408">
        <v>16.985192005131029</v>
      </c>
      <c r="S408">
        <v>5.1416290570749474</v>
      </c>
      <c r="T408">
        <v>0.3570298081156551</v>
      </c>
      <c r="U408" t="s">
        <v>95</v>
      </c>
      <c r="V408">
        <v>900.13714624173065</v>
      </c>
      <c r="W408">
        <v>31.095691742040842</v>
      </c>
      <c r="AK408" t="s">
        <v>137</v>
      </c>
      <c r="AL408">
        <f t="shared" si="18"/>
        <v>13.006932691109528</v>
      </c>
      <c r="AM408">
        <f t="shared" si="19"/>
        <v>5.1996916525952556E-2</v>
      </c>
      <c r="AN408">
        <f t="shared" si="20"/>
        <v>7.8885544380001449E-2</v>
      </c>
    </row>
    <row r="409" spans="1:40" x14ac:dyDescent="0.2">
      <c r="A409" t="s">
        <v>95</v>
      </c>
      <c r="B409">
        <v>2016</v>
      </c>
      <c r="C409">
        <v>146.5448315776006</v>
      </c>
      <c r="D409">
        <v>73.824378072455332</v>
      </c>
      <c r="E409">
        <v>9.8059910309593104</v>
      </c>
      <c r="F409">
        <v>4.1801327757975404</v>
      </c>
      <c r="G409">
        <v>6.3810535135517137</v>
      </c>
      <c r="H409">
        <v>2.4849850092586481</v>
      </c>
      <c r="I409">
        <v>0.31870625583428752</v>
      </c>
      <c r="J409">
        <v>0.48728769999999999</v>
      </c>
      <c r="K409">
        <v>0.40899999999999997</v>
      </c>
      <c r="L409">
        <v>10.199999999999999</v>
      </c>
      <c r="M409">
        <v>0.18164682720696329</v>
      </c>
      <c r="N409">
        <v>639</v>
      </c>
      <c r="O409">
        <v>24</v>
      </c>
      <c r="P409">
        <v>28.096113794000001</v>
      </c>
      <c r="Q409">
        <v>47.772871502000001</v>
      </c>
      <c r="R409">
        <v>18.691458086000001</v>
      </c>
      <c r="S409">
        <v>5.2001336809999996</v>
      </c>
      <c r="T409">
        <v>0.2394229370000005</v>
      </c>
      <c r="U409" t="s">
        <v>95</v>
      </c>
      <c r="AK409" t="s">
        <v>137</v>
      </c>
      <c r="AL409">
        <f t="shared" si="18"/>
        <v>12.958539702589997</v>
      </c>
      <c r="AM409">
        <f t="shared" si="19"/>
        <v>4.5718158035742425E-2</v>
      </c>
      <c r="AN409">
        <f t="shared" si="20"/>
        <v>6.6914615311879463E-2</v>
      </c>
    </row>
    <row r="410" spans="1:40" x14ac:dyDescent="0.2">
      <c r="A410" t="s">
        <v>95</v>
      </c>
      <c r="B410">
        <v>2020</v>
      </c>
      <c r="C410">
        <v>135.68621756051999</v>
      </c>
      <c r="D410">
        <v>63.769506488649938</v>
      </c>
      <c r="E410">
        <v>9.6690058948922459</v>
      </c>
      <c r="F410">
        <v>3.238467425448555</v>
      </c>
      <c r="G410">
        <v>6.1312818090691463</v>
      </c>
      <c r="H410">
        <v>2.932251307855998</v>
      </c>
      <c r="I410">
        <v>9.2792762906835302E-2</v>
      </c>
      <c r="J410">
        <v>0.58436589999999999</v>
      </c>
      <c r="K410">
        <v>0.39500000000000002</v>
      </c>
      <c r="L410">
        <v>9</v>
      </c>
      <c r="M410">
        <v>0.14959462920822769</v>
      </c>
      <c r="N410">
        <v>581</v>
      </c>
      <c r="O410">
        <v>22</v>
      </c>
      <c r="P410">
        <v>31.155987931999999</v>
      </c>
      <c r="Q410">
        <v>47.495922966000002</v>
      </c>
      <c r="R410">
        <v>15.830438823</v>
      </c>
      <c r="S410">
        <v>5.179191275</v>
      </c>
      <c r="T410">
        <v>0.33845900400001477</v>
      </c>
      <c r="U410" t="s">
        <v>95</v>
      </c>
      <c r="V410">
        <v>2504.7557961952248</v>
      </c>
      <c r="W410">
        <v>31.514290752894048</v>
      </c>
      <c r="AK410" t="s">
        <v>137</v>
      </c>
      <c r="AL410">
        <f t="shared" si="18"/>
        <v>13.068882020819999</v>
      </c>
      <c r="AM410">
        <f t="shared" si="19"/>
        <v>4.587108907505557E-2</v>
      </c>
      <c r="AN410">
        <f t="shared" si="20"/>
        <v>7.1260044452043106E-2</v>
      </c>
    </row>
    <row r="411" spans="1:40" x14ac:dyDescent="0.2">
      <c r="A411" t="s">
        <v>95</v>
      </c>
      <c r="B411">
        <v>2018</v>
      </c>
      <c r="C411">
        <v>128.1635121713027</v>
      </c>
      <c r="D411">
        <v>68.444503631692555</v>
      </c>
      <c r="E411">
        <v>10.262976341747169</v>
      </c>
      <c r="F411">
        <v>3.5997869259068129</v>
      </c>
      <c r="G411">
        <v>5.8447407506052818</v>
      </c>
      <c r="H411">
        <v>3.2159946139604219</v>
      </c>
      <c r="I411">
        <v>9.7104078926195297E-2</v>
      </c>
      <c r="J411">
        <v>0.56103930000000002</v>
      </c>
      <c r="K411">
        <v>0.40300000000000002</v>
      </c>
      <c r="L411">
        <v>9.5</v>
      </c>
      <c r="M411">
        <v>0.16372792009254519</v>
      </c>
      <c r="N411">
        <v>610</v>
      </c>
      <c r="O411">
        <v>23</v>
      </c>
      <c r="P411">
        <v>29.779481901</v>
      </c>
      <c r="Q411">
        <v>47.426423405000001</v>
      </c>
      <c r="R411">
        <v>17.501427184000001</v>
      </c>
      <c r="S411">
        <v>4.8326359730000004</v>
      </c>
      <c r="T411">
        <v>0.4600315370000061</v>
      </c>
      <c r="U411" t="s">
        <v>95</v>
      </c>
      <c r="V411">
        <v>2442.3446167279508</v>
      </c>
      <c r="W411">
        <v>29.455101326693729</v>
      </c>
      <c r="AK411" t="s">
        <v>137</v>
      </c>
      <c r="AL411">
        <f t="shared" si="18"/>
        <v>13.010852817090001</v>
      </c>
      <c r="AM411">
        <f t="shared" si="19"/>
        <v>4.6361438828156E-2</v>
      </c>
      <c r="AN411">
        <f t="shared" si="20"/>
        <v>8.007720893314571E-2</v>
      </c>
    </row>
    <row r="412" spans="1:40" x14ac:dyDescent="0.2">
      <c r="A412" t="s">
        <v>95</v>
      </c>
      <c r="B412">
        <v>2022</v>
      </c>
      <c r="C412">
        <v>121.54257895330601</v>
      </c>
      <c r="D412">
        <v>57.056198490931919</v>
      </c>
      <c r="E412">
        <v>9.4542498506575647</v>
      </c>
      <c r="F412">
        <v>3.056037597471299</v>
      </c>
      <c r="G412">
        <v>5.1715755198957902</v>
      </c>
      <c r="H412">
        <v>2.711265896144913</v>
      </c>
      <c r="I412">
        <v>0.17355854352484729</v>
      </c>
      <c r="J412">
        <v>0.81609209999999999</v>
      </c>
      <c r="K412">
        <v>0.39800000000000002</v>
      </c>
      <c r="L412">
        <v>8.1</v>
      </c>
      <c r="M412">
        <v>0.1414471639713103</v>
      </c>
      <c r="N412">
        <v>570</v>
      </c>
      <c r="O412">
        <v>23</v>
      </c>
      <c r="P412">
        <v>28.464047845931638</v>
      </c>
      <c r="Q412">
        <v>50.235327649144281</v>
      </c>
      <c r="R412">
        <v>15.674101863110099</v>
      </c>
      <c r="S412">
        <v>5.4377979744930114</v>
      </c>
      <c r="T412">
        <v>0.188724667320983</v>
      </c>
      <c r="U412" t="s">
        <v>95</v>
      </c>
      <c r="V412">
        <v>917.78154102854978</v>
      </c>
      <c r="W412">
        <v>33.403353216738672</v>
      </c>
      <c r="AK412" t="s">
        <v>137</v>
      </c>
      <c r="AL412">
        <f t="shared" si="18"/>
        <v>13.021301780617824</v>
      </c>
      <c r="AM412">
        <f t="shared" si="19"/>
        <v>4.3977461309868376E-2</v>
      </c>
      <c r="AN412">
        <f t="shared" si="20"/>
        <v>7.7785496507274871E-2</v>
      </c>
    </row>
    <row r="413" spans="1:40" x14ac:dyDescent="0.2">
      <c r="A413" t="s">
        <v>95</v>
      </c>
      <c r="B413">
        <v>2019</v>
      </c>
      <c r="C413">
        <v>133.83000065574541</v>
      </c>
      <c r="D413">
        <v>65.461006432561675</v>
      </c>
      <c r="E413">
        <v>9.2175103036611219</v>
      </c>
      <c r="F413">
        <v>3.095674652008864</v>
      </c>
      <c r="G413">
        <v>5.1532787620267309</v>
      </c>
      <c r="H413">
        <v>2.8940850601490049</v>
      </c>
      <c r="I413">
        <v>0.1529300352040307</v>
      </c>
      <c r="J413">
        <v>0.58785399999999999</v>
      </c>
      <c r="K413">
        <v>0.40600000000000003</v>
      </c>
      <c r="L413">
        <v>8.9</v>
      </c>
      <c r="M413">
        <v>0.15560501900841089</v>
      </c>
      <c r="N413">
        <v>494</v>
      </c>
      <c r="O413">
        <v>23</v>
      </c>
      <c r="P413">
        <v>30.514022287878131</v>
      </c>
      <c r="Q413">
        <v>46.575376569841339</v>
      </c>
      <c r="R413">
        <v>18.301155674222429</v>
      </c>
      <c r="S413">
        <v>4.2523380231793677</v>
      </c>
      <c r="T413">
        <v>0.3571074448787499</v>
      </c>
      <c r="U413" t="s">
        <v>95</v>
      </c>
      <c r="V413">
        <v>2453.857169816476</v>
      </c>
      <c r="W413">
        <v>30.233884212409141</v>
      </c>
      <c r="AK413" t="s">
        <v>137</v>
      </c>
      <c r="AL413">
        <f t="shared" si="18"/>
        <v>13.042024141306854</v>
      </c>
      <c r="AM413">
        <f t="shared" si="19"/>
        <v>3.9648873729591229E-2</v>
      </c>
      <c r="AN413">
        <f t="shared" si="20"/>
        <v>6.8874768426337954E-2</v>
      </c>
    </row>
    <row r="414" spans="1:40" x14ac:dyDescent="0.2">
      <c r="A414" t="s">
        <v>95</v>
      </c>
      <c r="B414">
        <v>2017</v>
      </c>
      <c r="C414">
        <v>134.66483698096309</v>
      </c>
      <c r="D414">
        <v>69.862826698104868</v>
      </c>
      <c r="E414">
        <v>10.4403880405817</v>
      </c>
      <c r="F414">
        <v>3.9220749763070182</v>
      </c>
      <c r="G414">
        <v>4.2870265936547849</v>
      </c>
      <c r="H414">
        <v>2.3005810815087102</v>
      </c>
      <c r="I414">
        <v>4.8506227622171598E-2</v>
      </c>
      <c r="J414">
        <v>0.52220739999999999</v>
      </c>
      <c r="K414">
        <v>0.40500000000000003</v>
      </c>
      <c r="L414">
        <v>9.8000000000000007</v>
      </c>
      <c r="M414">
        <v>0.1722649873052268</v>
      </c>
      <c r="N414">
        <v>612</v>
      </c>
      <c r="O414">
        <v>23</v>
      </c>
      <c r="P414">
        <v>29.446664527999999</v>
      </c>
      <c r="Q414">
        <v>47.250180297</v>
      </c>
      <c r="R414">
        <v>18.050125262000002</v>
      </c>
      <c r="S414">
        <v>4.9393316020000002</v>
      </c>
      <c r="T414">
        <v>0.31369831100001022</v>
      </c>
      <c r="U414" t="s">
        <v>95</v>
      </c>
      <c r="V414">
        <v>2526.8322201914029</v>
      </c>
      <c r="W414">
        <v>30.959862165849461</v>
      </c>
      <c r="AK414" t="s">
        <v>137</v>
      </c>
      <c r="AL414">
        <f t="shared" si="18"/>
        <v>13.002124673249998</v>
      </c>
      <c r="AM414">
        <f t="shared" si="19"/>
        <v>3.2194988079106722E-2</v>
      </c>
      <c r="AN414">
        <f t="shared" si="20"/>
        <v>7.7528687329548443E-2</v>
      </c>
    </row>
    <row r="415" spans="1:40" x14ac:dyDescent="0.2">
      <c r="A415" t="s">
        <v>96</v>
      </c>
      <c r="B415">
        <v>2017</v>
      </c>
      <c r="C415">
        <v>113.32865309397251</v>
      </c>
      <c r="D415">
        <v>47.299960583366179</v>
      </c>
      <c r="E415">
        <v>6.1340678665805246</v>
      </c>
      <c r="F415">
        <v>3.0087253033798009</v>
      </c>
      <c r="G415">
        <v>8.4430896110347913</v>
      </c>
      <c r="H415">
        <v>2.7288438798095882</v>
      </c>
      <c r="I415">
        <v>0.233234519641845</v>
      </c>
      <c r="J415">
        <v>0.21592729999999999</v>
      </c>
      <c r="K415">
        <v>0.34599999999999997</v>
      </c>
      <c r="L415">
        <v>11.8</v>
      </c>
      <c r="M415">
        <v>0.18596765154207981</v>
      </c>
      <c r="N415">
        <v>38</v>
      </c>
      <c r="O415">
        <v>1</v>
      </c>
      <c r="P415">
        <v>42.997930834999998</v>
      </c>
      <c r="Q415">
        <v>43.993093188000003</v>
      </c>
      <c r="R415">
        <v>11.312466426</v>
      </c>
      <c r="S415">
        <v>1.6965095509999999</v>
      </c>
      <c r="T415">
        <v>0</v>
      </c>
      <c r="U415" t="s">
        <v>96</v>
      </c>
      <c r="V415">
        <v>4057.841683242767</v>
      </c>
      <c r="W415">
        <v>51.669123776637953</v>
      </c>
      <c r="AK415" t="s">
        <v>131</v>
      </c>
      <c r="AL415">
        <f t="shared" si="18"/>
        <v>13.565848906139999</v>
      </c>
      <c r="AM415">
        <f t="shared" si="19"/>
        <v>7.6558962749536955E-2</v>
      </c>
      <c r="AN415">
        <f t="shared" si="20"/>
        <v>5.4126363449269396E-2</v>
      </c>
    </row>
    <row r="416" spans="1:40" x14ac:dyDescent="0.2">
      <c r="A416" t="s">
        <v>96</v>
      </c>
      <c r="B416">
        <v>2021</v>
      </c>
      <c r="C416">
        <v>120.31561279392621</v>
      </c>
      <c r="D416">
        <v>51.196881519710111</v>
      </c>
      <c r="E416">
        <v>7.1569750113727277</v>
      </c>
      <c r="F416">
        <v>3.1765204160065261</v>
      </c>
      <c r="G416">
        <v>6.4706897363095894</v>
      </c>
      <c r="H416">
        <v>2.6274921959560151</v>
      </c>
      <c r="I416">
        <v>0.1176489042965379</v>
      </c>
      <c r="J416">
        <v>0.3483619</v>
      </c>
      <c r="K416">
        <v>0.34300000000000003</v>
      </c>
      <c r="L416">
        <v>11</v>
      </c>
      <c r="M416">
        <v>0.15861333674307879</v>
      </c>
      <c r="N416">
        <v>31</v>
      </c>
      <c r="O416">
        <v>1</v>
      </c>
      <c r="P416">
        <v>42.553561591077759</v>
      </c>
      <c r="Q416">
        <v>43.991636741092528</v>
      </c>
      <c r="R416">
        <v>10.88451902586915</v>
      </c>
      <c r="S416">
        <v>2.5578028900414251</v>
      </c>
      <c r="T416">
        <v>1.247975191913042E-2</v>
      </c>
      <c r="U416" t="s">
        <v>96</v>
      </c>
      <c r="V416">
        <v>983.97867987342158</v>
      </c>
      <c r="W416">
        <v>47.113170563798647</v>
      </c>
      <c r="AK416" t="s">
        <v>131</v>
      </c>
      <c r="AL416">
        <f t="shared" si="18"/>
        <v>13.529945558029793</v>
      </c>
      <c r="AM416">
        <f t="shared" si="19"/>
        <v>5.4758800521512378E-2</v>
      </c>
      <c r="AN416">
        <f t="shared" si="20"/>
        <v>5.9485006518904815E-2</v>
      </c>
    </row>
    <row r="417" spans="1:40" x14ac:dyDescent="0.2">
      <c r="A417" t="s">
        <v>96</v>
      </c>
      <c r="B417">
        <v>2016</v>
      </c>
      <c r="C417">
        <v>137.00473018260089</v>
      </c>
      <c r="D417">
        <v>50.593014512459682</v>
      </c>
      <c r="E417">
        <v>4.348212548316809</v>
      </c>
      <c r="F417">
        <v>2.7866997547223749</v>
      </c>
      <c r="G417">
        <v>6.4382373643585913</v>
      </c>
      <c r="H417">
        <v>1.8978386260609279</v>
      </c>
      <c r="I417">
        <v>0.21620946372846009</v>
      </c>
      <c r="J417">
        <v>0.1993451</v>
      </c>
      <c r="K417">
        <v>0.34799999999999998</v>
      </c>
      <c r="L417">
        <v>12.4</v>
      </c>
      <c r="M417">
        <v>0.1924426672885188</v>
      </c>
      <c r="N417">
        <v>35</v>
      </c>
      <c r="O417">
        <v>1</v>
      </c>
      <c r="P417">
        <v>39.992692245999997</v>
      </c>
      <c r="Q417">
        <v>43.885681716000001</v>
      </c>
      <c r="R417">
        <v>14.545876688</v>
      </c>
      <c r="S417">
        <v>1.5757493499999999</v>
      </c>
      <c r="T417">
        <v>0</v>
      </c>
      <c r="U417" t="s">
        <v>96</v>
      </c>
      <c r="AK417" t="s">
        <v>131</v>
      </c>
      <c r="AL417">
        <f t="shared" si="18"/>
        <v>13.445906337160002</v>
      </c>
      <c r="AM417">
        <f t="shared" si="19"/>
        <v>4.8570927581974406E-2</v>
      </c>
      <c r="AN417">
        <f t="shared" si="20"/>
        <v>3.1737681921795546E-2</v>
      </c>
    </row>
    <row r="418" spans="1:40" x14ac:dyDescent="0.2">
      <c r="A418" t="s">
        <v>96</v>
      </c>
      <c r="B418">
        <v>2018</v>
      </c>
      <c r="C418">
        <v>93.503103029747862</v>
      </c>
      <c r="D418">
        <v>43.785925298280162</v>
      </c>
      <c r="E418">
        <v>4.9694277142922569</v>
      </c>
      <c r="F418">
        <v>2.2900588545125609</v>
      </c>
      <c r="G418">
        <v>5.4961412508301457</v>
      </c>
      <c r="H418">
        <v>2.5190647399638171</v>
      </c>
      <c r="I418">
        <v>9.1602354180502402E-2</v>
      </c>
      <c r="J418">
        <v>0.24851190000000001</v>
      </c>
      <c r="K418">
        <v>0.34599999999999997</v>
      </c>
      <c r="L418">
        <v>12</v>
      </c>
      <c r="M418">
        <v>0.17862378605851939</v>
      </c>
      <c r="N418">
        <v>29</v>
      </c>
      <c r="O418">
        <v>1</v>
      </c>
      <c r="P418">
        <v>42.964785585000001</v>
      </c>
      <c r="Q418">
        <v>42.649304465999997</v>
      </c>
      <c r="R418">
        <v>12.120892936000001</v>
      </c>
      <c r="S418">
        <v>2.2037513359999998</v>
      </c>
      <c r="T418">
        <v>6.1265676999994412E-2</v>
      </c>
      <c r="U418" t="s">
        <v>96</v>
      </c>
      <c r="V418">
        <v>3108.9240341489399</v>
      </c>
      <c r="W418">
        <v>44.053518728055082</v>
      </c>
      <c r="AK418" t="s">
        <v>131</v>
      </c>
      <c r="AL418">
        <f t="shared" si="18"/>
        <v>13.523213888609998</v>
      </c>
      <c r="AM418">
        <f t="shared" si="19"/>
        <v>5.9759980406563801E-2</v>
      </c>
      <c r="AN418">
        <f t="shared" si="20"/>
        <v>5.3147195689444031E-2</v>
      </c>
    </row>
    <row r="419" spans="1:40" x14ac:dyDescent="0.2">
      <c r="A419" t="s">
        <v>96</v>
      </c>
      <c r="B419">
        <v>2020</v>
      </c>
      <c r="C419">
        <v>135.9047775961954</v>
      </c>
      <c r="D419">
        <v>45.976960310639491</v>
      </c>
      <c r="E419">
        <v>9.3289812930546958</v>
      </c>
      <c r="F419">
        <v>2.6717846185359511</v>
      </c>
      <c r="G419">
        <v>5.1431853906817064</v>
      </c>
      <c r="H419">
        <v>2.115162823007628</v>
      </c>
      <c r="I419">
        <v>0.2003838463901963</v>
      </c>
      <c r="J419">
        <v>0.27127449999999997</v>
      </c>
      <c r="K419">
        <v>0.33200000000000002</v>
      </c>
      <c r="L419">
        <v>12.1</v>
      </c>
      <c r="M419">
        <v>0.16522514865056301</v>
      </c>
      <c r="N419">
        <v>31</v>
      </c>
      <c r="O419">
        <v>1</v>
      </c>
      <c r="P419">
        <v>43.461531364000002</v>
      </c>
      <c r="Q419">
        <v>40.171179803000001</v>
      </c>
      <c r="R419">
        <v>14.285216370000001</v>
      </c>
      <c r="S419">
        <v>1.9179295919999999</v>
      </c>
      <c r="T419">
        <v>0.1641428710000099</v>
      </c>
      <c r="U419" t="s">
        <v>96</v>
      </c>
      <c r="V419">
        <v>2641.4019506480331</v>
      </c>
      <c r="W419">
        <v>44.899305568417653</v>
      </c>
      <c r="AK419" t="s">
        <v>131</v>
      </c>
      <c r="AL419">
        <f t="shared" si="18"/>
        <v>13.49203625781</v>
      </c>
      <c r="AM419">
        <f t="shared" si="19"/>
        <v>3.9318479685452164E-2</v>
      </c>
      <c r="AN419">
        <f t="shared" si="20"/>
        <v>6.8643512450851887E-2</v>
      </c>
    </row>
    <row r="420" spans="1:40" x14ac:dyDescent="0.2">
      <c r="A420" t="s">
        <v>96</v>
      </c>
      <c r="B420">
        <v>2022</v>
      </c>
      <c r="C420">
        <v>114.51232254151959</v>
      </c>
      <c r="D420">
        <v>48.424336745504633</v>
      </c>
      <c r="E420">
        <v>7.0691129085289672</v>
      </c>
      <c r="F420">
        <v>3.1235615177221021</v>
      </c>
      <c r="G420">
        <v>5.0963372131255342</v>
      </c>
      <c r="H420">
        <v>2.1919729948927031</v>
      </c>
      <c r="I420">
        <v>0.14613153299284681</v>
      </c>
      <c r="J420">
        <v>0.41546080000000002</v>
      </c>
      <c r="K420">
        <v>0.32400000000000001</v>
      </c>
      <c r="L420">
        <v>9.3000000000000007</v>
      </c>
      <c r="M420">
        <v>0.1537723855242103</v>
      </c>
      <c r="N420">
        <v>32</v>
      </c>
      <c r="O420">
        <v>1</v>
      </c>
      <c r="P420">
        <v>45.039576584374878</v>
      </c>
      <c r="Q420">
        <v>40.409969724803602</v>
      </c>
      <c r="R420">
        <v>12.10596013256718</v>
      </c>
      <c r="S420">
        <v>2.4302986443051369</v>
      </c>
      <c r="T420">
        <v>1.419491394919703E-2</v>
      </c>
      <c r="U420" t="s">
        <v>96</v>
      </c>
      <c r="V420">
        <v>989.78034639463954</v>
      </c>
      <c r="W420">
        <v>45.728248642043198</v>
      </c>
      <c r="AK420" t="s">
        <v>131</v>
      </c>
      <c r="AL420">
        <f t="shared" si="18"/>
        <v>13.560182841008521</v>
      </c>
      <c r="AM420">
        <f t="shared" si="19"/>
        <v>4.5780826288084234E-2</v>
      </c>
      <c r="AN420">
        <f t="shared" si="20"/>
        <v>6.1732333705535193E-2</v>
      </c>
    </row>
    <row r="421" spans="1:40" x14ac:dyDescent="0.2">
      <c r="A421" t="s">
        <v>96</v>
      </c>
      <c r="B421">
        <v>2019</v>
      </c>
      <c r="C421">
        <v>95.620154688952482</v>
      </c>
      <c r="D421">
        <v>39.281427398175133</v>
      </c>
      <c r="E421">
        <v>7.1974585525662667</v>
      </c>
      <c r="F421">
        <v>2.3013817315415648</v>
      </c>
      <c r="G421">
        <v>4.0161367471999858</v>
      </c>
      <c r="H421">
        <v>1.489129355703366</v>
      </c>
      <c r="I421">
        <v>6.7687697986516596E-2</v>
      </c>
      <c r="J421">
        <v>0.26990350000000002</v>
      </c>
      <c r="K421">
        <v>0.33700000000000002</v>
      </c>
      <c r="L421">
        <v>13.3</v>
      </c>
      <c r="M421">
        <v>0.1706046358954651</v>
      </c>
      <c r="N421">
        <v>24</v>
      </c>
      <c r="O421">
        <v>12</v>
      </c>
      <c r="P421">
        <v>43.11383458353184</v>
      </c>
      <c r="Q421">
        <v>43.690486508826439</v>
      </c>
      <c r="R421">
        <v>10.46748350277324</v>
      </c>
      <c r="S421">
        <v>2.559965210079163</v>
      </c>
      <c r="T421">
        <v>0.16823019478931661</v>
      </c>
      <c r="U421" t="s">
        <v>96</v>
      </c>
      <c r="V421">
        <v>2480.6299396744071</v>
      </c>
      <c r="W421">
        <v>47.032063722462958</v>
      </c>
      <c r="AK421" t="s">
        <v>131</v>
      </c>
      <c r="AL421">
        <f t="shared" si="18"/>
        <v>13.535387695680967</v>
      </c>
      <c r="AM421">
        <f t="shared" si="19"/>
        <v>4.2708824917413873E-2</v>
      </c>
      <c r="AN421">
        <f t="shared" si="20"/>
        <v>7.5271354412458705E-2</v>
      </c>
    </row>
    <row r="422" spans="1:40" x14ac:dyDescent="0.2">
      <c r="A422" t="s">
        <v>97</v>
      </c>
      <c r="B422">
        <v>2017</v>
      </c>
      <c r="C422">
        <v>136.40354972351059</v>
      </c>
      <c r="D422">
        <v>69.722965040951493</v>
      </c>
      <c r="E422">
        <v>7.1758212591048478</v>
      </c>
      <c r="F422">
        <v>3.4410370950093419</v>
      </c>
      <c r="G422">
        <v>8.6865204715479738</v>
      </c>
      <c r="H422">
        <v>2.098193350615452</v>
      </c>
      <c r="I422">
        <v>1.080569575566958</v>
      </c>
      <c r="J422">
        <v>0.33446100000000001</v>
      </c>
      <c r="K422">
        <v>0.38</v>
      </c>
      <c r="L422">
        <v>16.7</v>
      </c>
      <c r="M422">
        <v>0.1692290518235797</v>
      </c>
      <c r="N422">
        <v>165</v>
      </c>
      <c r="O422">
        <v>7</v>
      </c>
      <c r="P422">
        <v>33.019890676999999</v>
      </c>
      <c r="Q422">
        <v>48.148349467000003</v>
      </c>
      <c r="R422">
        <v>14.653104949999999</v>
      </c>
      <c r="S422">
        <v>3.9406094149999999</v>
      </c>
      <c r="T422">
        <v>0.23804549099999411</v>
      </c>
      <c r="U422" t="s">
        <v>97</v>
      </c>
      <c r="V422">
        <v>2701.7617874499701</v>
      </c>
      <c r="W422">
        <v>42.087338253107632</v>
      </c>
      <c r="AK422" t="s">
        <v>136</v>
      </c>
      <c r="AL422">
        <f t="shared" ref="AL422:AL472" si="21">(15*P422+13*Q422+11*R422+9*S422+4*T422)/100</f>
        <v>13.18828724375</v>
      </c>
      <c r="AM422">
        <f t="shared" ref="AM422:AM472" si="22">(G422+I422)/C422</f>
        <v>7.1604368558683268E-2</v>
      </c>
      <c r="AN422">
        <f t="shared" ref="AN422:AN472" si="23">E422/C422</f>
        <v>5.2607291185971378E-2</v>
      </c>
    </row>
    <row r="423" spans="1:40" x14ac:dyDescent="0.2">
      <c r="A423" t="s">
        <v>97</v>
      </c>
      <c r="B423">
        <v>2021</v>
      </c>
      <c r="C423">
        <v>152.12885953836991</v>
      </c>
      <c r="D423">
        <v>66.505487299796883</v>
      </c>
      <c r="E423">
        <v>8.9347071576449295</v>
      </c>
      <c r="F423">
        <v>3.582567876090919</v>
      </c>
      <c r="G423">
        <v>8.3050437127562216</v>
      </c>
      <c r="H423">
        <v>3.3003049525201198</v>
      </c>
      <c r="I423">
        <v>0.45596318422975329</v>
      </c>
      <c r="J423">
        <v>0.47988429999999999</v>
      </c>
      <c r="K423">
        <v>0.38700000000000001</v>
      </c>
      <c r="L423">
        <v>14</v>
      </c>
      <c r="M423">
        <v>0.13649505559745459</v>
      </c>
      <c r="N423">
        <v>166</v>
      </c>
      <c r="O423">
        <v>6</v>
      </c>
      <c r="P423">
        <v>30.409622624620351</v>
      </c>
      <c r="Q423">
        <v>49.504806999126117</v>
      </c>
      <c r="R423">
        <v>14.27512691805121</v>
      </c>
      <c r="S423">
        <v>5.484750390474753</v>
      </c>
      <c r="T423">
        <v>0.32569306772755618</v>
      </c>
      <c r="U423" t="s">
        <v>97</v>
      </c>
      <c r="V423">
        <v>1098.745085640204</v>
      </c>
      <c r="W423">
        <v>44.197978775776072</v>
      </c>
      <c r="AK423" t="s">
        <v>136</v>
      </c>
      <c r="AL423">
        <f t="shared" si="21"/>
        <v>13.073987522416912</v>
      </c>
      <c r="AM423">
        <f t="shared" si="22"/>
        <v>5.7589381288803233E-2</v>
      </c>
      <c r="AN423">
        <f t="shared" si="23"/>
        <v>5.873117819167914E-2</v>
      </c>
    </row>
    <row r="424" spans="1:40" x14ac:dyDescent="0.2">
      <c r="A424" t="s">
        <v>97</v>
      </c>
      <c r="B424">
        <v>2016</v>
      </c>
      <c r="C424">
        <v>142.67235534043371</v>
      </c>
      <c r="D424">
        <v>70.840678885492835</v>
      </c>
      <c r="E424">
        <v>6.551015511719851</v>
      </c>
      <c r="F424">
        <v>3.786653870627875</v>
      </c>
      <c r="G424">
        <v>7.9384121089471433</v>
      </c>
      <c r="H424">
        <v>2.013289798983966</v>
      </c>
      <c r="I424">
        <v>0.3025150475157255</v>
      </c>
      <c r="J424">
        <v>0.30046790000000001</v>
      </c>
      <c r="K424">
        <v>0.36299999999999999</v>
      </c>
      <c r="L424">
        <v>17.600000000000001</v>
      </c>
      <c r="M424">
        <v>0.17761260472466189</v>
      </c>
      <c r="N424">
        <v>167</v>
      </c>
      <c r="O424">
        <v>7</v>
      </c>
      <c r="P424">
        <v>29.497209456</v>
      </c>
      <c r="Q424">
        <v>50.418648140000002</v>
      </c>
      <c r="R424">
        <v>15.562419198000001</v>
      </c>
      <c r="S424">
        <v>4.3339549699999997</v>
      </c>
      <c r="T424">
        <v>0.1877682360000108</v>
      </c>
      <c r="U424" t="s">
        <v>97</v>
      </c>
      <c r="AK424" t="s">
        <v>136</v>
      </c>
      <c r="AL424">
        <f t="shared" si="21"/>
        <v>13.088438465119999</v>
      </c>
      <c r="AM424">
        <f t="shared" si="22"/>
        <v>5.776120494260438E-2</v>
      </c>
      <c r="AN424">
        <f t="shared" si="23"/>
        <v>4.5916502156905771E-2</v>
      </c>
    </row>
    <row r="425" spans="1:40" x14ac:dyDescent="0.2">
      <c r="A425" t="s">
        <v>97</v>
      </c>
      <c r="B425">
        <v>2020</v>
      </c>
      <c r="C425">
        <v>157.95458070423331</v>
      </c>
      <c r="D425">
        <v>68.147127626916131</v>
      </c>
      <c r="E425">
        <v>7.7977171621443828</v>
      </c>
      <c r="F425">
        <v>3.6367953842648699</v>
      </c>
      <c r="G425">
        <v>7.3484659676175461</v>
      </c>
      <c r="H425">
        <v>2.3425240857470779</v>
      </c>
      <c r="I425">
        <v>0.3101972533637683</v>
      </c>
      <c r="J425">
        <v>0.40192159999999999</v>
      </c>
      <c r="K425">
        <v>0.38500000000000001</v>
      </c>
      <c r="L425">
        <v>15.3</v>
      </c>
      <c r="M425">
        <v>0.1438383675215727</v>
      </c>
      <c r="N425">
        <v>167</v>
      </c>
      <c r="O425">
        <v>6</v>
      </c>
      <c r="P425">
        <v>29.220967607999999</v>
      </c>
      <c r="Q425">
        <v>50.232530765</v>
      </c>
      <c r="R425">
        <v>14.867322824</v>
      </c>
      <c r="S425">
        <v>5.5392982059999998</v>
      </c>
      <c r="T425">
        <v>0.13988059700000119</v>
      </c>
      <c r="U425" t="s">
        <v>97</v>
      </c>
      <c r="V425">
        <v>3272.272098363866</v>
      </c>
      <c r="W425">
        <v>49.046987962560529</v>
      </c>
      <c r="AK425" t="s">
        <v>136</v>
      </c>
      <c r="AL425">
        <f t="shared" si="21"/>
        <v>13.052911713709999</v>
      </c>
      <c r="AM425">
        <f t="shared" si="22"/>
        <v>4.8486490146949293E-2</v>
      </c>
      <c r="AN425">
        <f t="shared" si="23"/>
        <v>4.9366831448500043E-2</v>
      </c>
    </row>
    <row r="426" spans="1:40" x14ac:dyDescent="0.2">
      <c r="A426" t="s">
        <v>97</v>
      </c>
      <c r="B426">
        <v>2022</v>
      </c>
      <c r="C426">
        <v>164.74236103281089</v>
      </c>
      <c r="D426">
        <v>63.276581350772346</v>
      </c>
      <c r="E426">
        <v>8.8736046904949823</v>
      </c>
      <c r="F426">
        <v>3.6531739767730298</v>
      </c>
      <c r="G426">
        <v>7.1484947570188302</v>
      </c>
      <c r="H426">
        <v>2.6722291126395308</v>
      </c>
      <c r="I426">
        <v>0.47355958958168898</v>
      </c>
      <c r="J426">
        <v>0.5492224</v>
      </c>
      <c r="K426">
        <v>0.372</v>
      </c>
      <c r="L426">
        <v>12.3</v>
      </c>
      <c r="M426">
        <v>0.1336351336114556</v>
      </c>
      <c r="N426">
        <v>152</v>
      </c>
      <c r="O426">
        <v>6</v>
      </c>
      <c r="P426">
        <v>28.95635192976189</v>
      </c>
      <c r="Q426">
        <v>50.182391510929847</v>
      </c>
      <c r="R426">
        <v>15.34168222497355</v>
      </c>
      <c r="S426">
        <v>5.3909025281276719</v>
      </c>
      <c r="T426">
        <v>0.1286718062070378</v>
      </c>
      <c r="U426" t="s">
        <v>97</v>
      </c>
      <c r="V426">
        <v>1147.8933078596081</v>
      </c>
      <c r="W426">
        <v>46.913994253187873</v>
      </c>
      <c r="AK426" t="s">
        <v>136</v>
      </c>
      <c r="AL426">
        <f t="shared" si="21"/>
        <v>13.045076830412027</v>
      </c>
      <c r="AM426">
        <f t="shared" si="22"/>
        <v>4.6266511532407101E-2</v>
      </c>
      <c r="AN426">
        <f t="shared" si="23"/>
        <v>5.386352747929643E-2</v>
      </c>
    </row>
    <row r="427" spans="1:40" x14ac:dyDescent="0.2">
      <c r="A427" t="s">
        <v>97</v>
      </c>
      <c r="B427">
        <v>2018</v>
      </c>
      <c r="C427">
        <v>131.93265272587081</v>
      </c>
      <c r="D427">
        <v>67.65696035594955</v>
      </c>
      <c r="E427">
        <v>7.1206765064022894</v>
      </c>
      <c r="F427">
        <v>3.0968622675773272</v>
      </c>
      <c r="G427">
        <v>6.9521397843572643</v>
      </c>
      <c r="H427">
        <v>2.1383096609462489</v>
      </c>
      <c r="I427">
        <v>0.13693608666158241</v>
      </c>
      <c r="J427">
        <v>0.36018539999999999</v>
      </c>
      <c r="K427">
        <v>0.38500000000000001</v>
      </c>
      <c r="L427">
        <v>16.100000000000001</v>
      </c>
      <c r="M427">
        <v>0.1606561726400742</v>
      </c>
      <c r="N427">
        <v>160</v>
      </c>
      <c r="O427">
        <v>6</v>
      </c>
      <c r="P427">
        <v>30.498214919999999</v>
      </c>
      <c r="Q427">
        <v>49.137416008000002</v>
      </c>
      <c r="R427">
        <v>15.349330567000001</v>
      </c>
      <c r="S427">
        <v>4.6126550640000001</v>
      </c>
      <c r="T427">
        <v>0.402383441000012</v>
      </c>
      <c r="U427" t="s">
        <v>97</v>
      </c>
      <c r="V427">
        <v>3093.3552001843259</v>
      </c>
      <c r="W427">
        <v>45.546596311782913</v>
      </c>
      <c r="AK427" t="s">
        <v>136</v>
      </c>
      <c r="AL427">
        <f t="shared" si="21"/>
        <v>13.082256974810003</v>
      </c>
      <c r="AM427">
        <f t="shared" si="22"/>
        <v>5.3732534930139721E-2</v>
      </c>
      <c r="AN427">
        <f t="shared" si="23"/>
        <v>5.3972055888223555E-2</v>
      </c>
    </row>
    <row r="428" spans="1:40" x14ac:dyDescent="0.2">
      <c r="A428" t="s">
        <v>97</v>
      </c>
      <c r="B428">
        <v>2019</v>
      </c>
      <c r="C428">
        <v>148.1170207234367</v>
      </c>
      <c r="D428">
        <v>68.964931772575952</v>
      </c>
      <c r="E428">
        <v>7.8950468131707208</v>
      </c>
      <c r="F428">
        <v>4.1385326036782004</v>
      </c>
      <c r="G428">
        <v>6.2184105275780146</v>
      </c>
      <c r="H428">
        <v>2.4300614519033541</v>
      </c>
      <c r="I428">
        <v>0.27590217357854668</v>
      </c>
      <c r="J428">
        <v>0.37920749999999998</v>
      </c>
      <c r="K428">
        <v>0.38300000000000001</v>
      </c>
      <c r="L428">
        <v>16</v>
      </c>
      <c r="M428">
        <v>0.15157751009742571</v>
      </c>
      <c r="N428">
        <v>126</v>
      </c>
      <c r="O428">
        <v>6</v>
      </c>
      <c r="P428">
        <v>31.270765459702289</v>
      </c>
      <c r="Q428">
        <v>49.290890503988237</v>
      </c>
      <c r="R428">
        <v>14.12127901169063</v>
      </c>
      <c r="S428">
        <v>5.0450555820517398</v>
      </c>
      <c r="T428">
        <v>0.27200944256709653</v>
      </c>
      <c r="U428" t="s">
        <v>97</v>
      </c>
      <c r="V428">
        <v>3368.59839163365</v>
      </c>
      <c r="W428">
        <v>45.604337303237301</v>
      </c>
      <c r="AK428" t="s">
        <v>136</v>
      </c>
      <c r="AL428">
        <f t="shared" si="21"/>
        <v>13.116706655847125</v>
      </c>
      <c r="AM428">
        <f t="shared" si="22"/>
        <v>4.3845823183837236E-2</v>
      </c>
      <c r="AN428">
        <f t="shared" si="23"/>
        <v>5.3302765439174678E-2</v>
      </c>
    </row>
    <row r="429" spans="1:40" x14ac:dyDescent="0.2">
      <c r="A429" t="s">
        <v>98</v>
      </c>
      <c r="B429">
        <v>2022</v>
      </c>
      <c r="C429">
        <v>140.92533377724629</v>
      </c>
      <c r="D429">
        <v>68.231187402404686</v>
      </c>
      <c r="E429">
        <v>11.601650784183761</v>
      </c>
      <c r="F429">
        <v>2.3591384957275081</v>
      </c>
      <c r="G429">
        <v>6.8016720266429456</v>
      </c>
      <c r="H429">
        <v>3.0229653451746432</v>
      </c>
      <c r="I429">
        <v>0.16340353217160231</v>
      </c>
      <c r="J429">
        <v>0.4870601</v>
      </c>
      <c r="K429">
        <v>0.35599999999999998</v>
      </c>
      <c r="L429">
        <v>10.3</v>
      </c>
      <c r="M429">
        <v>0.13484774365253871</v>
      </c>
      <c r="N429">
        <v>99</v>
      </c>
      <c r="O429">
        <v>5</v>
      </c>
      <c r="P429">
        <v>27.906876583790329</v>
      </c>
      <c r="Q429">
        <v>54.04825201156477</v>
      </c>
      <c r="R429">
        <v>13.42236118225199</v>
      </c>
      <c r="S429">
        <v>4.3946884728991726</v>
      </c>
      <c r="T429">
        <v>0.2278217494937422</v>
      </c>
      <c r="U429" t="s">
        <v>98</v>
      </c>
      <c r="V429">
        <v>816.76803074898044</v>
      </c>
      <c r="W429">
        <v>36.537248721282182</v>
      </c>
      <c r="AK429" t="s">
        <v>136</v>
      </c>
      <c r="AL429">
        <f t="shared" si="21"/>
        <v>13.093398811660363</v>
      </c>
      <c r="AM429">
        <f t="shared" si="22"/>
        <v>4.942387129502137E-2</v>
      </c>
      <c r="AN429">
        <f t="shared" si="23"/>
        <v>8.2324806145372811E-2</v>
      </c>
    </row>
    <row r="430" spans="1:40" x14ac:dyDescent="0.2">
      <c r="A430" t="s">
        <v>98</v>
      </c>
      <c r="B430">
        <v>2021</v>
      </c>
      <c r="C430">
        <v>136.1296031857766</v>
      </c>
      <c r="D430">
        <v>70.704531284567892</v>
      </c>
      <c r="E430">
        <v>8.0650027151505395</v>
      </c>
      <c r="F430">
        <v>1.7698759075642081</v>
      </c>
      <c r="G430">
        <v>6.7577080106997043</v>
      </c>
      <c r="H430">
        <v>3.2380684217936091</v>
      </c>
      <c r="I430">
        <v>0.1206733573339233</v>
      </c>
      <c r="J430">
        <v>0.44924639999999999</v>
      </c>
      <c r="K430">
        <v>0.35799999999999998</v>
      </c>
      <c r="L430">
        <v>10.5</v>
      </c>
      <c r="M430">
        <v>0.13858713986910459</v>
      </c>
      <c r="N430">
        <v>103</v>
      </c>
      <c r="O430">
        <v>4</v>
      </c>
      <c r="P430">
        <v>28.846882326576289</v>
      </c>
      <c r="Q430">
        <v>52.922341576148057</v>
      </c>
      <c r="R430">
        <v>13.971514894455691</v>
      </c>
      <c r="S430">
        <v>3.6586090750140272</v>
      </c>
      <c r="T430">
        <v>0.60065212780594379</v>
      </c>
      <c r="U430" t="s">
        <v>98</v>
      </c>
      <c r="V430">
        <v>764.49972772334138</v>
      </c>
      <c r="W430">
        <v>32.540893204887283</v>
      </c>
      <c r="AK430" t="s">
        <v>136</v>
      </c>
      <c r="AL430">
        <f t="shared" si="21"/>
        <v>13.097104294139317</v>
      </c>
      <c r="AM430">
        <f t="shared" si="22"/>
        <v>5.0528182019649863E-2</v>
      </c>
      <c r="AN430">
        <f t="shared" si="23"/>
        <v>5.9245032134150853E-2</v>
      </c>
    </row>
    <row r="431" spans="1:40" x14ac:dyDescent="0.2">
      <c r="A431" t="s">
        <v>98</v>
      </c>
      <c r="B431">
        <v>2016</v>
      </c>
      <c r="C431">
        <v>115.94837640853279</v>
      </c>
      <c r="D431">
        <v>67.457238204504449</v>
      </c>
      <c r="E431">
        <v>4.9985956326555874</v>
      </c>
      <c r="F431">
        <v>2.3041145582907658</v>
      </c>
      <c r="G431">
        <v>6.0649627009554452</v>
      </c>
      <c r="H431">
        <v>2.132734136599717</v>
      </c>
      <c r="I431">
        <v>0.26659176707496463</v>
      </c>
      <c r="J431">
        <v>0.30688680000000002</v>
      </c>
      <c r="K431">
        <v>0.38300000000000001</v>
      </c>
      <c r="L431">
        <v>10.6</v>
      </c>
      <c r="M431">
        <v>0.1727788387809629</v>
      </c>
      <c r="N431">
        <v>115</v>
      </c>
      <c r="O431">
        <v>4</v>
      </c>
      <c r="P431">
        <v>28.110558835999999</v>
      </c>
      <c r="Q431">
        <v>50.671917332</v>
      </c>
      <c r="R431">
        <v>19.100883918000001</v>
      </c>
      <c r="S431">
        <v>2.1166399149999999</v>
      </c>
      <c r="T431">
        <v>-1.00000363545405E-9</v>
      </c>
      <c r="U431" t="s">
        <v>98</v>
      </c>
      <c r="AK431" t="s">
        <v>136</v>
      </c>
      <c r="AL431">
        <f t="shared" si="21"/>
        <v>13.095527901850003</v>
      </c>
      <c r="AM431">
        <f t="shared" si="22"/>
        <v>5.4606667761537213E-2</v>
      </c>
      <c r="AN431">
        <f t="shared" si="23"/>
        <v>4.3110527180160965E-2</v>
      </c>
    </row>
    <row r="432" spans="1:40" x14ac:dyDescent="0.2">
      <c r="A432" t="s">
        <v>98</v>
      </c>
      <c r="B432">
        <v>2020</v>
      </c>
      <c r="C432">
        <v>131.6416819303341</v>
      </c>
      <c r="D432">
        <v>69.938057984719109</v>
      </c>
      <c r="E432">
        <v>7.4000643656605227</v>
      </c>
      <c r="F432">
        <v>2.026326349791606</v>
      </c>
      <c r="G432">
        <v>5.8306547418023174</v>
      </c>
      <c r="H432">
        <v>2.483243075725007</v>
      </c>
      <c r="I432">
        <v>0.17879350145220049</v>
      </c>
      <c r="J432">
        <v>0.37647550000000002</v>
      </c>
      <c r="K432">
        <v>0.35599999999999998</v>
      </c>
      <c r="L432">
        <v>10.8</v>
      </c>
      <c r="M432">
        <v>0.14369936461256869</v>
      </c>
      <c r="N432">
        <v>105</v>
      </c>
      <c r="O432">
        <v>4</v>
      </c>
      <c r="P432">
        <v>27.244239861000001</v>
      </c>
      <c r="Q432">
        <v>52.154235667999998</v>
      </c>
      <c r="R432">
        <v>16.244718484</v>
      </c>
      <c r="S432">
        <v>3.750086606</v>
      </c>
      <c r="T432">
        <v>0.60671938100000489</v>
      </c>
      <c r="U432" t="s">
        <v>98</v>
      </c>
      <c r="V432">
        <v>2270.898478461369</v>
      </c>
      <c r="W432">
        <v>33.739118805199404</v>
      </c>
      <c r="AK432" t="s">
        <v>136</v>
      </c>
      <c r="AL432">
        <f t="shared" si="21"/>
        <v>13.015382219009998</v>
      </c>
      <c r="AM432">
        <f t="shared" si="22"/>
        <v>4.5650041500037722E-2</v>
      </c>
      <c r="AN432">
        <f t="shared" si="23"/>
        <v>5.6213687466988606E-2</v>
      </c>
    </row>
    <row r="433" spans="1:40" x14ac:dyDescent="0.2">
      <c r="A433" t="s">
        <v>98</v>
      </c>
      <c r="B433">
        <v>2019</v>
      </c>
      <c r="C433">
        <v>124.5907835498432</v>
      </c>
      <c r="D433">
        <v>65.671489006521881</v>
      </c>
      <c r="E433">
        <v>7.3821368037906776</v>
      </c>
      <c r="F433">
        <v>2.1654267957785991</v>
      </c>
      <c r="G433">
        <v>4.921424535860452</v>
      </c>
      <c r="H433">
        <v>2.2933838337109709</v>
      </c>
      <c r="I433">
        <v>0.1968569814344181</v>
      </c>
      <c r="J433">
        <v>0.35003790000000001</v>
      </c>
      <c r="K433">
        <v>0.36899999999999999</v>
      </c>
      <c r="L433">
        <v>10.7</v>
      </c>
      <c r="M433">
        <v>0.1501871294344751</v>
      </c>
      <c r="N433">
        <v>76</v>
      </c>
      <c r="O433">
        <v>4</v>
      </c>
      <c r="P433">
        <v>26.522002605712078</v>
      </c>
      <c r="Q433">
        <v>51.022152294980302</v>
      </c>
      <c r="R433">
        <v>20.288021845640611</v>
      </c>
      <c r="S433">
        <v>2.002161304020539</v>
      </c>
      <c r="T433">
        <v>0.16566194964649131</v>
      </c>
      <c r="U433" t="s">
        <v>98</v>
      </c>
      <c r="V433">
        <v>2253.9693828418899</v>
      </c>
      <c r="W433">
        <v>33.678240599844017</v>
      </c>
      <c r="AK433" t="s">
        <v>136</v>
      </c>
      <c r="AL433">
        <f t="shared" si="21"/>
        <v>13.029683587572428</v>
      </c>
      <c r="AM433">
        <f t="shared" si="22"/>
        <v>4.1080739453310158E-2</v>
      </c>
      <c r="AN433">
        <f t="shared" si="23"/>
        <v>5.9251066519197343E-2</v>
      </c>
    </row>
    <row r="434" spans="1:40" x14ac:dyDescent="0.2">
      <c r="A434" t="s">
        <v>98</v>
      </c>
      <c r="B434">
        <v>2018</v>
      </c>
      <c r="C434">
        <v>116.2012167747728</v>
      </c>
      <c r="D434">
        <v>64.25414492933109</v>
      </c>
      <c r="E434">
        <v>5.8632753843057728</v>
      </c>
      <c r="F434">
        <v>1.7512423177546941</v>
      </c>
      <c r="G434">
        <v>4.4216449680325711</v>
      </c>
      <c r="H434">
        <v>2.1382571946065601</v>
      </c>
      <c r="I434">
        <v>8.7078347291669897E-2</v>
      </c>
      <c r="J434">
        <v>0.3438851</v>
      </c>
      <c r="K434">
        <v>0.377</v>
      </c>
      <c r="L434">
        <v>9.8000000000000007</v>
      </c>
      <c r="M434">
        <v>0.16027627331116559</v>
      </c>
      <c r="N434">
        <v>109</v>
      </c>
      <c r="O434">
        <v>4</v>
      </c>
      <c r="P434">
        <v>27.601272055999999</v>
      </c>
      <c r="Q434">
        <v>51.568744387999999</v>
      </c>
      <c r="R434">
        <v>20.135549128000001</v>
      </c>
      <c r="S434">
        <v>0.69443442899999996</v>
      </c>
      <c r="T434">
        <v>-1.00000363545405E-9</v>
      </c>
      <c r="U434" t="s">
        <v>98</v>
      </c>
      <c r="V434">
        <v>2228.7484251462611</v>
      </c>
      <c r="W434">
        <v>29.752059884372901</v>
      </c>
      <c r="AK434" t="s">
        <v>136</v>
      </c>
      <c r="AL434">
        <f t="shared" si="21"/>
        <v>13.121537081490001</v>
      </c>
      <c r="AM434">
        <f t="shared" si="22"/>
        <v>3.8800999167360538E-2</v>
      </c>
      <c r="AN434">
        <f t="shared" si="23"/>
        <v>5.045795170691092E-2</v>
      </c>
    </row>
    <row r="435" spans="1:40" x14ac:dyDescent="0.2">
      <c r="A435" t="s">
        <v>98</v>
      </c>
      <c r="B435">
        <v>2017</v>
      </c>
      <c r="C435">
        <v>110.6382896916066</v>
      </c>
      <c r="D435">
        <v>62.422680561015909</v>
      </c>
      <c r="E435">
        <v>4.5081979031592949</v>
      </c>
      <c r="F435">
        <v>1.8071241061704639</v>
      </c>
      <c r="G435">
        <v>3.9795179784817658</v>
      </c>
      <c r="H435">
        <v>1.9224724533728339</v>
      </c>
      <c r="I435">
        <v>9.6123622668641606E-2</v>
      </c>
      <c r="J435">
        <v>0.30932680000000001</v>
      </c>
      <c r="K435">
        <v>0.379</v>
      </c>
      <c r="L435">
        <v>10.4</v>
      </c>
      <c r="M435">
        <v>0.1658766769647467</v>
      </c>
      <c r="N435">
        <v>111</v>
      </c>
      <c r="O435">
        <v>4</v>
      </c>
      <c r="P435">
        <v>28.914678282000001</v>
      </c>
      <c r="Q435">
        <v>50.276176139</v>
      </c>
      <c r="R435">
        <v>19.572867123999998</v>
      </c>
      <c r="S435">
        <v>1.1537095479999999</v>
      </c>
      <c r="T435">
        <v>8.2568907000009517E-2</v>
      </c>
      <c r="U435" t="s">
        <v>98</v>
      </c>
      <c r="V435">
        <v>2380.2610899543952</v>
      </c>
      <c r="W435">
        <v>30.87235889726054</v>
      </c>
      <c r="AK435" t="s">
        <v>136</v>
      </c>
      <c r="AL435">
        <f t="shared" si="21"/>
        <v>13.13325663961</v>
      </c>
      <c r="AM435">
        <f t="shared" si="22"/>
        <v>3.6837532580364894E-2</v>
      </c>
      <c r="AN435">
        <f t="shared" si="23"/>
        <v>4.0747176368375319E-2</v>
      </c>
    </row>
    <row r="436" spans="1:40" x14ac:dyDescent="0.2">
      <c r="A436" t="s">
        <v>99</v>
      </c>
      <c r="B436">
        <v>2016</v>
      </c>
      <c r="C436">
        <v>124.45944793252571</v>
      </c>
      <c r="D436">
        <v>55.855539156260583</v>
      </c>
      <c r="E436">
        <v>6.3509213617905624</v>
      </c>
      <c r="F436">
        <v>3.0526813708891551</v>
      </c>
      <c r="G436">
        <v>8.3645020458910295</v>
      </c>
      <c r="H436">
        <v>3.22586481868727</v>
      </c>
      <c r="I436">
        <v>0.41874206781036671</v>
      </c>
      <c r="J436">
        <v>0.52331079999999996</v>
      </c>
      <c r="K436">
        <v>0.41199999999999998</v>
      </c>
      <c r="L436">
        <v>7.6</v>
      </c>
      <c r="M436">
        <v>0.19804231412330889</v>
      </c>
      <c r="N436">
        <v>349</v>
      </c>
      <c r="O436">
        <v>23</v>
      </c>
      <c r="P436">
        <v>33.483240831000003</v>
      </c>
      <c r="Q436">
        <v>41.255020330000001</v>
      </c>
      <c r="R436">
        <v>23.426134050000002</v>
      </c>
      <c r="S436">
        <v>1.708897522</v>
      </c>
      <c r="T436">
        <v>0.12670726700000051</v>
      </c>
      <c r="U436" t="s">
        <v>126</v>
      </c>
      <c r="AK436" t="s">
        <v>135</v>
      </c>
      <c r="AL436">
        <f t="shared" si="21"/>
        <v>13.121382580709998</v>
      </c>
      <c r="AM436">
        <f t="shared" si="22"/>
        <v>7.0571131879543073E-2</v>
      </c>
      <c r="AN436">
        <f t="shared" si="23"/>
        <v>5.1028037383177557E-2</v>
      </c>
    </row>
    <row r="437" spans="1:40" x14ac:dyDescent="0.2">
      <c r="A437" t="s">
        <v>99</v>
      </c>
      <c r="B437">
        <v>2021</v>
      </c>
      <c r="C437">
        <v>133.36260824011589</v>
      </c>
      <c r="D437">
        <v>48.516738056351628</v>
      </c>
      <c r="E437">
        <v>7.3264306184709254</v>
      </c>
      <c r="F437">
        <v>2.4524154366069868</v>
      </c>
      <c r="G437">
        <v>7.4599652809877446</v>
      </c>
      <c r="H437">
        <v>2.362536336836051</v>
      </c>
      <c r="I437">
        <v>0.68308115825911886</v>
      </c>
      <c r="J437">
        <v>0.88356400000000002</v>
      </c>
      <c r="K437">
        <v>0.38700000000000001</v>
      </c>
      <c r="L437">
        <v>6.4</v>
      </c>
      <c r="M437">
        <v>0.1537667618632855</v>
      </c>
      <c r="N437">
        <v>383</v>
      </c>
      <c r="O437">
        <v>22</v>
      </c>
      <c r="P437">
        <v>35.584302189273103</v>
      </c>
      <c r="Q437">
        <v>43.496133725020293</v>
      </c>
      <c r="R437">
        <v>18.81311947386466</v>
      </c>
      <c r="S437">
        <v>1.961356409753036</v>
      </c>
      <c r="T437">
        <v>0.1450882020889139</v>
      </c>
      <c r="U437" t="s">
        <v>126</v>
      </c>
      <c r="V437">
        <v>803.70574751401421</v>
      </c>
      <c r="W437">
        <v>27.112740219668929</v>
      </c>
      <c r="AK437" t="s">
        <v>135</v>
      </c>
      <c r="AL437">
        <f t="shared" si="21"/>
        <v>13.243911459730045</v>
      </c>
      <c r="AM437">
        <f t="shared" si="22"/>
        <v>6.1059441973311743E-2</v>
      </c>
      <c r="AN437">
        <f t="shared" si="23"/>
        <v>5.4936167754606885E-2</v>
      </c>
    </row>
    <row r="438" spans="1:40" x14ac:dyDescent="0.2">
      <c r="A438" t="s">
        <v>99</v>
      </c>
      <c r="B438">
        <v>2020</v>
      </c>
      <c r="C438">
        <v>137.99012423620661</v>
      </c>
      <c r="D438">
        <v>48.748516483178612</v>
      </c>
      <c r="E438">
        <v>8.706373331748182</v>
      </c>
      <c r="F438">
        <v>2.2291185399119842</v>
      </c>
      <c r="G438">
        <v>6.9615115780929404</v>
      </c>
      <c r="H438">
        <v>2.001082275484205</v>
      </c>
      <c r="I438">
        <v>0.44582370798239662</v>
      </c>
      <c r="J438">
        <v>0.65831169999999994</v>
      </c>
      <c r="K438">
        <v>0.38100000000000001</v>
      </c>
      <c r="L438">
        <v>6.8</v>
      </c>
      <c r="M438">
        <v>0.16111819811938771</v>
      </c>
      <c r="N438">
        <v>377</v>
      </c>
      <c r="O438">
        <v>21</v>
      </c>
      <c r="P438">
        <v>35.622731277</v>
      </c>
      <c r="Q438">
        <v>42.891636019000003</v>
      </c>
      <c r="R438">
        <v>19.597288540000001</v>
      </c>
      <c r="S438">
        <v>1.820604881</v>
      </c>
      <c r="T438">
        <v>6.7739282999994543E-2</v>
      </c>
      <c r="U438" t="s">
        <v>126</v>
      </c>
      <c r="V438">
        <v>2442.7762155608548</v>
      </c>
      <c r="W438">
        <v>25.020256154942501</v>
      </c>
      <c r="AK438" t="s">
        <v>135</v>
      </c>
      <c r="AL438">
        <f t="shared" si="21"/>
        <v>13.241588124029999</v>
      </c>
      <c r="AM438">
        <f t="shared" si="22"/>
        <v>5.3680184194890082E-2</v>
      </c>
      <c r="AN438">
        <f t="shared" si="23"/>
        <v>6.3094177064765306E-2</v>
      </c>
    </row>
    <row r="439" spans="1:40" x14ac:dyDescent="0.2">
      <c r="A439" t="s">
        <v>99</v>
      </c>
      <c r="B439">
        <v>2017</v>
      </c>
      <c r="C439">
        <v>118.63577481312031</v>
      </c>
      <c r="D439">
        <v>54.81238930901025</v>
      </c>
      <c r="E439">
        <v>7.2350500726722302</v>
      </c>
      <c r="F439">
        <v>2.496619911238728</v>
      </c>
      <c r="G439">
        <v>6.625051187142768</v>
      </c>
      <c r="H439">
        <v>2.846661465804158</v>
      </c>
      <c r="I439">
        <v>9.7805728481517099E-2</v>
      </c>
      <c r="J439">
        <v>0.57235049999999998</v>
      </c>
      <c r="K439">
        <v>0.39600000000000002</v>
      </c>
      <c r="L439">
        <v>7.3</v>
      </c>
      <c r="M439">
        <v>0.18901823663923881</v>
      </c>
      <c r="N439">
        <v>383</v>
      </c>
      <c r="O439">
        <v>24</v>
      </c>
      <c r="P439">
        <v>34.789010433999998</v>
      </c>
      <c r="Q439">
        <v>41.159649948999999</v>
      </c>
      <c r="R439">
        <v>22.578539368000001</v>
      </c>
      <c r="S439">
        <v>1.3878850949999999</v>
      </c>
      <c r="T439">
        <v>8.4915153999986615E-2</v>
      </c>
      <c r="U439" t="s">
        <v>126</v>
      </c>
      <c r="V439">
        <v>2595.2484452415538</v>
      </c>
      <c r="W439">
        <v>25.836054034224421</v>
      </c>
      <c r="AK439" t="s">
        <v>135</v>
      </c>
      <c r="AL439">
        <f t="shared" si="21"/>
        <v>13.181051653659999</v>
      </c>
      <c r="AM439">
        <f t="shared" si="22"/>
        <v>5.6668040700323247E-2</v>
      </c>
      <c r="AN439">
        <f t="shared" si="23"/>
        <v>6.0985399084459664E-2</v>
      </c>
    </row>
    <row r="440" spans="1:40" x14ac:dyDescent="0.2">
      <c r="A440" t="s">
        <v>99</v>
      </c>
      <c r="B440">
        <v>2022</v>
      </c>
      <c r="C440">
        <v>130.46976013503709</v>
      </c>
      <c r="D440">
        <v>47.124010395781688</v>
      </c>
      <c r="E440">
        <v>9.9397912643834463</v>
      </c>
      <c r="F440">
        <v>2.3249511760253041</v>
      </c>
      <c r="G440">
        <v>6.4923636603631323</v>
      </c>
      <c r="H440">
        <v>2.4399487610760171</v>
      </c>
      <c r="I440">
        <v>0.7149849853153083</v>
      </c>
      <c r="J440">
        <v>1.0445916</v>
      </c>
      <c r="K440">
        <v>0.378</v>
      </c>
      <c r="L440">
        <v>5</v>
      </c>
      <c r="M440">
        <v>0.14690041509128299</v>
      </c>
      <c r="N440">
        <v>376</v>
      </c>
      <c r="O440">
        <v>24</v>
      </c>
      <c r="P440">
        <v>36.256582188733013</v>
      </c>
      <c r="Q440">
        <v>44.410395626974967</v>
      </c>
      <c r="R440">
        <v>16.131980216881779</v>
      </c>
      <c r="S440">
        <v>3.1556695764766571</v>
      </c>
      <c r="T440">
        <v>4.5372390933593458E-2</v>
      </c>
      <c r="U440" t="s">
        <v>126</v>
      </c>
      <c r="V440">
        <v>848.82056056474892</v>
      </c>
      <c r="W440">
        <v>30.833176122697761</v>
      </c>
      <c r="AK440" t="s">
        <v>135</v>
      </c>
      <c r="AL440">
        <f t="shared" si="21"/>
        <v>13.272181741193936</v>
      </c>
      <c r="AM440">
        <f t="shared" si="22"/>
        <v>5.5241525992067317E-2</v>
      </c>
      <c r="AN440">
        <f t="shared" si="23"/>
        <v>7.6184636609247194E-2</v>
      </c>
    </row>
    <row r="441" spans="1:40" x14ac:dyDescent="0.2">
      <c r="A441" t="s">
        <v>99</v>
      </c>
      <c r="B441">
        <v>2019</v>
      </c>
      <c r="C441">
        <v>127.8372801919034</v>
      </c>
      <c r="D441">
        <v>47.50132610754347</v>
      </c>
      <c r="E441">
        <v>5.6199257790176436</v>
      </c>
      <c r="F441">
        <v>1.9134936700808589</v>
      </c>
      <c r="G441">
        <v>5.7020059364473861</v>
      </c>
      <c r="H441">
        <v>1.7724183994984899</v>
      </c>
      <c r="I441">
        <v>0.1667253197791633</v>
      </c>
      <c r="J441">
        <v>0.7040978</v>
      </c>
      <c r="K441">
        <v>0.39400000000000002</v>
      </c>
      <c r="L441">
        <v>7.1</v>
      </c>
      <c r="M441">
        <v>0.16968709026011641</v>
      </c>
      <c r="N441">
        <v>298</v>
      </c>
      <c r="O441">
        <v>22</v>
      </c>
      <c r="P441">
        <v>35.232700525620622</v>
      </c>
      <c r="Q441">
        <v>40.19055659052998</v>
      </c>
      <c r="R441">
        <v>22.697274385736289</v>
      </c>
      <c r="S441">
        <v>1.7731480072568051</v>
      </c>
      <c r="T441">
        <v>0.1063204908562909</v>
      </c>
      <c r="U441" t="s">
        <v>126</v>
      </c>
      <c r="V441">
        <v>2507.9569819467361</v>
      </c>
      <c r="W441">
        <v>24.527817653485499</v>
      </c>
      <c r="AK441" t="s">
        <v>135</v>
      </c>
      <c r="AL441">
        <f t="shared" si="21"/>
        <v>13.170213758330341</v>
      </c>
      <c r="AM441">
        <f t="shared" si="22"/>
        <v>4.5907823190673977E-2</v>
      </c>
      <c r="AN441">
        <f t="shared" si="23"/>
        <v>4.3961556210999418E-2</v>
      </c>
    </row>
    <row r="442" spans="1:40" x14ac:dyDescent="0.2">
      <c r="A442" t="s">
        <v>99</v>
      </c>
      <c r="B442">
        <v>2018</v>
      </c>
      <c r="C442">
        <v>111.92301331900811</v>
      </c>
      <c r="D442">
        <v>51.904278167693988</v>
      </c>
      <c r="E442">
        <v>6.3169506897802004</v>
      </c>
      <c r="F442">
        <v>2.203229143020899</v>
      </c>
      <c r="G442">
        <v>5.659576959461611</v>
      </c>
      <c r="H442">
        <v>2.573001866325106</v>
      </c>
      <c r="I442">
        <v>0.19002209392021741</v>
      </c>
      <c r="J442">
        <v>0.65992109999999993</v>
      </c>
      <c r="K442">
        <v>0.39500000000000002</v>
      </c>
      <c r="L442">
        <v>7.1</v>
      </c>
      <c r="M442">
        <v>0.17993503082078161</v>
      </c>
      <c r="N442">
        <v>372</v>
      </c>
      <c r="O442">
        <v>23</v>
      </c>
      <c r="P442">
        <v>34.95304136</v>
      </c>
      <c r="Q442">
        <v>41.958388822000003</v>
      </c>
      <c r="R442">
        <v>21.312403136</v>
      </c>
      <c r="S442">
        <v>1.604306394</v>
      </c>
      <c r="T442">
        <v>0.17186028799999059</v>
      </c>
      <c r="U442" t="s">
        <v>126</v>
      </c>
      <c r="V442">
        <v>2594.3619949985409</v>
      </c>
      <c r="W442">
        <v>21.80579112615176</v>
      </c>
      <c r="AK442" t="s">
        <v>135</v>
      </c>
      <c r="AL442">
        <f t="shared" si="21"/>
        <v>13.193173082800001</v>
      </c>
      <c r="AM442">
        <f t="shared" si="22"/>
        <v>5.2264488597255979E-2</v>
      </c>
      <c r="AN442">
        <f t="shared" si="23"/>
        <v>5.6440141329784768E-2</v>
      </c>
    </row>
    <row r="443" spans="1:40" x14ac:dyDescent="0.2">
      <c r="A443" t="s">
        <v>100</v>
      </c>
      <c r="B443">
        <v>2022</v>
      </c>
      <c r="C443">
        <v>174.15447155797781</v>
      </c>
      <c r="D443">
        <v>52.853174208303493</v>
      </c>
      <c r="E443">
        <v>5.7910113715888087</v>
      </c>
      <c r="F443">
        <v>2.6834404806376311</v>
      </c>
      <c r="G443">
        <v>15.187131230842761</v>
      </c>
      <c r="H443">
        <v>2.8791929777054222</v>
      </c>
      <c r="I443">
        <v>0.2365342672902471</v>
      </c>
      <c r="J443">
        <v>0.51648879999999997</v>
      </c>
      <c r="K443">
        <v>0.33500000000000002</v>
      </c>
      <c r="L443">
        <v>9.3000000000000007</v>
      </c>
      <c r="M443">
        <v>0.1295930468713041</v>
      </c>
      <c r="N443">
        <v>186</v>
      </c>
      <c r="O443">
        <v>6</v>
      </c>
      <c r="P443">
        <v>22.810331123792</v>
      </c>
      <c r="Q443">
        <v>57.122780045337407</v>
      </c>
      <c r="R443">
        <v>13.108195770656421</v>
      </c>
      <c r="S443">
        <v>6.8163905973184038</v>
      </c>
      <c r="T443">
        <v>0.1423024628957705</v>
      </c>
      <c r="U443" t="s">
        <v>100</v>
      </c>
      <c r="V443">
        <v>1037.4691724023251</v>
      </c>
      <c r="W443">
        <v>39.215383560837701</v>
      </c>
      <c r="AK443" t="s">
        <v>136</v>
      </c>
      <c r="AL443">
        <f t="shared" si="21"/>
        <v>12.908579861509356</v>
      </c>
      <c r="AM443">
        <f t="shared" si="22"/>
        <v>8.856313225927312E-2</v>
      </c>
      <c r="AN443">
        <f t="shared" si="23"/>
        <v>3.3252154364930682E-2</v>
      </c>
    </row>
    <row r="444" spans="1:40" x14ac:dyDescent="0.2">
      <c r="A444" t="s">
        <v>100</v>
      </c>
      <c r="B444">
        <v>2018</v>
      </c>
      <c r="C444">
        <v>152.51508521481489</v>
      </c>
      <c r="D444">
        <v>62.57628285663769</v>
      </c>
      <c r="E444">
        <v>4.8369270169245713</v>
      </c>
      <c r="F444">
        <v>2.5080362309979258</v>
      </c>
      <c r="G444">
        <v>7.7967213267979014</v>
      </c>
      <c r="H444">
        <v>4.3072796141051333</v>
      </c>
      <c r="I444">
        <v>0.17914544507128041</v>
      </c>
      <c r="J444">
        <v>0.3697781</v>
      </c>
      <c r="K444">
        <v>0.33900000000000002</v>
      </c>
      <c r="L444">
        <v>12.2</v>
      </c>
      <c r="M444">
        <v>0.1515219868562776</v>
      </c>
      <c r="N444">
        <v>194</v>
      </c>
      <c r="O444">
        <v>7</v>
      </c>
      <c r="P444">
        <v>24.554812028000001</v>
      </c>
      <c r="Q444">
        <v>55.300397777000001</v>
      </c>
      <c r="R444">
        <v>15.279972813000001</v>
      </c>
      <c r="S444">
        <v>4.2564717500000002</v>
      </c>
      <c r="T444">
        <v>0.60834563199999536</v>
      </c>
      <c r="U444" t="s">
        <v>100</v>
      </c>
      <c r="V444">
        <v>2888.921243498924</v>
      </c>
      <c r="W444">
        <v>37.635435663440653</v>
      </c>
      <c r="AK444" t="s">
        <v>136</v>
      </c>
      <c r="AL444">
        <f t="shared" si="21"/>
        <v>12.960486807420001</v>
      </c>
      <c r="AM444">
        <f t="shared" si="22"/>
        <v>5.2295592666360247E-2</v>
      </c>
      <c r="AN444">
        <f t="shared" si="23"/>
        <v>3.1714417036923542E-2</v>
      </c>
    </row>
    <row r="445" spans="1:40" x14ac:dyDescent="0.2">
      <c r="A445" t="s">
        <v>100</v>
      </c>
      <c r="B445">
        <v>2016</v>
      </c>
      <c r="C445">
        <v>160.88979907169531</v>
      </c>
      <c r="D445">
        <v>68.312251292207506</v>
      </c>
      <c r="E445">
        <v>4.7288970096815923</v>
      </c>
      <c r="F445">
        <v>3.272672646894716</v>
      </c>
      <c r="G445">
        <v>6.7216250850741597</v>
      </c>
      <c r="H445">
        <v>3.648225245718701</v>
      </c>
      <c r="I445">
        <v>0.40620995383002328</v>
      </c>
      <c r="J445">
        <v>0.30603229999999998</v>
      </c>
      <c r="K445">
        <v>0.34300000000000003</v>
      </c>
      <c r="L445">
        <v>12.8</v>
      </c>
      <c r="M445">
        <v>0.16753054665834641</v>
      </c>
      <c r="N445">
        <v>207</v>
      </c>
      <c r="O445">
        <v>7</v>
      </c>
      <c r="P445">
        <v>23.905481364</v>
      </c>
      <c r="Q445">
        <v>55.699813898000002</v>
      </c>
      <c r="R445">
        <v>15.538053081999999</v>
      </c>
      <c r="S445">
        <v>4.4560909530000004</v>
      </c>
      <c r="T445">
        <v>0.40056070299999652</v>
      </c>
      <c r="U445" t="s">
        <v>100</v>
      </c>
      <c r="AK445" t="s">
        <v>136</v>
      </c>
      <c r="AL445">
        <f t="shared" si="21"/>
        <v>12.953054464249998</v>
      </c>
      <c r="AM445">
        <f t="shared" si="22"/>
        <v>4.4302591463414628E-2</v>
      </c>
      <c r="AN445">
        <f t="shared" si="23"/>
        <v>2.9392149390243896E-2</v>
      </c>
    </row>
    <row r="446" spans="1:40" x14ac:dyDescent="0.2">
      <c r="A446" t="s">
        <v>100</v>
      </c>
      <c r="B446">
        <v>2017</v>
      </c>
      <c r="C446">
        <v>154.61918153854219</v>
      </c>
      <c r="D446">
        <v>62.793077416006639</v>
      </c>
      <c r="E446">
        <v>4.642199754935036</v>
      </c>
      <c r="F446">
        <v>2.4367693065771951</v>
      </c>
      <c r="G446">
        <v>6.4389315537720186</v>
      </c>
      <c r="H446">
        <v>3.254166605618912</v>
      </c>
      <c r="I446">
        <v>0.1310920196576339</v>
      </c>
      <c r="J446">
        <v>0.32664100000000001</v>
      </c>
      <c r="K446">
        <v>0.33700000000000002</v>
      </c>
      <c r="L446">
        <v>12.4</v>
      </c>
      <c r="M446">
        <v>0.1598257889784801</v>
      </c>
      <c r="N446">
        <v>204</v>
      </c>
      <c r="O446">
        <v>7</v>
      </c>
      <c r="P446">
        <v>26.898330723000001</v>
      </c>
      <c r="Q446">
        <v>53.430877299000002</v>
      </c>
      <c r="R446">
        <v>15.165876908</v>
      </c>
      <c r="S446">
        <v>4.0375037880000004</v>
      </c>
      <c r="T446">
        <v>0.46741128200000048</v>
      </c>
      <c r="U446" t="s">
        <v>100</v>
      </c>
      <c r="V446">
        <v>2940.1579930290532</v>
      </c>
      <c r="W446">
        <v>39.428437284672199</v>
      </c>
      <c r="AK446" t="s">
        <v>136</v>
      </c>
      <c r="AL446">
        <f t="shared" si="21"/>
        <v>13.031081909399999</v>
      </c>
      <c r="AM446">
        <f t="shared" si="22"/>
        <v>4.2491646301930079E-2</v>
      </c>
      <c r="AN446">
        <f t="shared" si="23"/>
        <v>3.0023440227420081E-2</v>
      </c>
    </row>
    <row r="447" spans="1:40" x14ac:dyDescent="0.2">
      <c r="A447" t="s">
        <v>100</v>
      </c>
      <c r="B447">
        <v>2021</v>
      </c>
      <c r="C447">
        <v>165.2431441716929</v>
      </c>
      <c r="D447">
        <v>57.232588777146141</v>
      </c>
      <c r="E447">
        <v>5.0978670042765879</v>
      </c>
      <c r="F447">
        <v>2.5449194336309899</v>
      </c>
      <c r="G447">
        <v>5.7401179654452923</v>
      </c>
      <c r="H447">
        <v>3.0506920655513441</v>
      </c>
      <c r="I447">
        <v>0.16859087730678479</v>
      </c>
      <c r="J447">
        <v>0.45751770000000003</v>
      </c>
      <c r="K447">
        <v>0.34200000000000003</v>
      </c>
      <c r="L447">
        <v>10.8</v>
      </c>
      <c r="M447">
        <v>0.1331340052937619</v>
      </c>
      <c r="N447">
        <v>191</v>
      </c>
      <c r="O447">
        <v>6</v>
      </c>
      <c r="P447">
        <v>26.820409323467668</v>
      </c>
      <c r="Q447">
        <v>53.686235499394478</v>
      </c>
      <c r="R447">
        <v>13.883548956615019</v>
      </c>
      <c r="S447">
        <v>5.2720489431146271</v>
      </c>
      <c r="T447">
        <v>0.33775727740820122</v>
      </c>
      <c r="U447" t="s">
        <v>100</v>
      </c>
      <c r="V447">
        <v>1063.0462119160411</v>
      </c>
      <c r="W447">
        <v>38.920483704472701</v>
      </c>
      <c r="AK447" t="s">
        <v>136</v>
      </c>
      <c r="AL447">
        <f t="shared" si="21"/>
        <v>13.017457094645728</v>
      </c>
      <c r="AM447">
        <f t="shared" si="22"/>
        <v>3.5757664091726191E-2</v>
      </c>
      <c r="AN447">
        <f t="shared" si="23"/>
        <v>3.08507020356605E-2</v>
      </c>
    </row>
    <row r="448" spans="1:40" x14ac:dyDescent="0.2">
      <c r="A448" t="s">
        <v>100</v>
      </c>
      <c r="B448">
        <v>2020</v>
      </c>
      <c r="C448">
        <v>172.33705099815211</v>
      </c>
      <c r="D448">
        <v>61.751266880835047</v>
      </c>
      <c r="E448">
        <v>4.5700539282231771</v>
      </c>
      <c r="F448">
        <v>2.5389188490128758</v>
      </c>
      <c r="G448">
        <v>5.5776873464251624</v>
      </c>
      <c r="H448">
        <v>2.5468529704160412</v>
      </c>
      <c r="I448">
        <v>0.29356249191711381</v>
      </c>
      <c r="J448">
        <v>0.38946439999999999</v>
      </c>
      <c r="K448">
        <v>0.33500000000000002</v>
      </c>
      <c r="L448">
        <v>11.4</v>
      </c>
      <c r="M448">
        <v>0.1382623174881242</v>
      </c>
      <c r="N448">
        <v>191</v>
      </c>
      <c r="O448">
        <v>6</v>
      </c>
      <c r="P448">
        <v>26.861103416999999</v>
      </c>
      <c r="Q448">
        <v>56.001663742000012</v>
      </c>
      <c r="R448">
        <v>11.658286629999999</v>
      </c>
      <c r="S448">
        <v>5.0757407429999999</v>
      </c>
      <c r="T448">
        <v>0.4032054679999959</v>
      </c>
      <c r="U448" t="s">
        <v>100</v>
      </c>
      <c r="V448">
        <v>2817.9743370794008</v>
      </c>
      <c r="W448">
        <v>40.383124404554202</v>
      </c>
      <c r="AK448" t="s">
        <v>136</v>
      </c>
      <c r="AL448">
        <f t="shared" si="21"/>
        <v>13.064738213900002</v>
      </c>
      <c r="AM448">
        <f t="shared" si="22"/>
        <v>3.4068413056489118E-2</v>
      </c>
      <c r="AN448">
        <f t="shared" si="23"/>
        <v>2.6518116108834772E-2</v>
      </c>
    </row>
    <row r="449" spans="1:40" x14ac:dyDescent="0.2">
      <c r="A449" t="s">
        <v>100</v>
      </c>
      <c r="B449">
        <v>2019</v>
      </c>
      <c r="C449">
        <v>163.2908959733341</v>
      </c>
      <c r="D449">
        <v>60.812705373823682</v>
      </c>
      <c r="E449">
        <v>4.3398265329590533</v>
      </c>
      <c r="F449">
        <v>2.5597887898578811</v>
      </c>
      <c r="G449">
        <v>4.9462995693253813</v>
      </c>
      <c r="H449">
        <v>2.725190527048698</v>
      </c>
      <c r="I449">
        <v>0.13389664439256599</v>
      </c>
      <c r="J449">
        <v>0.38704339999999998</v>
      </c>
      <c r="K449">
        <v>0.34200000000000003</v>
      </c>
      <c r="L449">
        <v>11.7</v>
      </c>
      <c r="M449">
        <v>0.1434849167895014</v>
      </c>
      <c r="N449">
        <v>141</v>
      </c>
      <c r="O449">
        <v>6</v>
      </c>
      <c r="P449">
        <v>26.957168093430141</v>
      </c>
      <c r="Q449">
        <v>53.607050542234447</v>
      </c>
      <c r="R449">
        <v>14.13940377051722</v>
      </c>
      <c r="S449">
        <v>4.8035513687378284</v>
      </c>
      <c r="T449">
        <v>0.49282622508036411</v>
      </c>
      <c r="U449" t="s">
        <v>100</v>
      </c>
      <c r="V449">
        <v>2808.008436397588</v>
      </c>
      <c r="W449">
        <v>38.053287841573749</v>
      </c>
      <c r="AK449" t="s">
        <v>136</v>
      </c>
      <c r="AL449">
        <f t="shared" si="21"/>
        <v>13.019858871451513</v>
      </c>
      <c r="AM449">
        <f t="shared" si="22"/>
        <v>3.1111325487169588E-2</v>
      </c>
      <c r="AN449">
        <f t="shared" si="23"/>
        <v>2.6577271850279763E-2</v>
      </c>
    </row>
    <row r="450" spans="1:40" x14ac:dyDescent="0.2">
      <c r="A450" t="s">
        <v>101</v>
      </c>
      <c r="B450">
        <v>2021</v>
      </c>
      <c r="C450">
        <v>157.08107431383891</v>
      </c>
      <c r="D450">
        <v>81.861914776533411</v>
      </c>
      <c r="E450">
        <v>6.7735549204504366</v>
      </c>
      <c r="F450">
        <v>3.475534386769052</v>
      </c>
      <c r="G450">
        <v>8.5300077825810323</v>
      </c>
      <c r="H450">
        <v>6.1008708455919107</v>
      </c>
      <c r="I450">
        <v>0.36437054054836832</v>
      </c>
      <c r="J450">
        <v>0.67972480000000002</v>
      </c>
      <c r="K450">
        <v>0.35499999999999998</v>
      </c>
      <c r="L450">
        <v>13.5</v>
      </c>
      <c r="M450">
        <v>0.1617316157109317</v>
      </c>
      <c r="N450">
        <v>145</v>
      </c>
      <c r="O450">
        <v>5</v>
      </c>
      <c r="P450">
        <v>28.543750792448161</v>
      </c>
      <c r="Q450">
        <v>43.978770110344769</v>
      </c>
      <c r="R450">
        <v>23.27705410348236</v>
      </c>
      <c r="S450">
        <v>3.760376047357421</v>
      </c>
      <c r="T450">
        <v>0.44004894636728409</v>
      </c>
      <c r="U450" t="s">
        <v>101</v>
      </c>
      <c r="V450">
        <v>822.30310301086672</v>
      </c>
      <c r="W450">
        <v>30.293103393235079</v>
      </c>
      <c r="AK450" t="s">
        <v>132</v>
      </c>
      <c r="AL450">
        <f t="shared" si="21"/>
        <v>12.915314486711964</v>
      </c>
      <c r="AM450">
        <f t="shared" si="22"/>
        <v>5.6622851365015152E-2</v>
      </c>
      <c r="AN450">
        <f t="shared" si="23"/>
        <v>4.3121394159281498E-2</v>
      </c>
    </row>
    <row r="451" spans="1:40" x14ac:dyDescent="0.2">
      <c r="A451" t="s">
        <v>101</v>
      </c>
      <c r="B451">
        <v>2022</v>
      </c>
      <c r="C451">
        <v>174.81458061626421</v>
      </c>
      <c r="D451">
        <v>75.889740158799157</v>
      </c>
      <c r="E451">
        <v>9.2121581668275745</v>
      </c>
      <c r="F451">
        <v>3.641578356039092</v>
      </c>
      <c r="G451">
        <v>7.6124984238646656</v>
      </c>
      <c r="H451">
        <v>4.6484230177863344</v>
      </c>
      <c r="I451">
        <v>0.385800290949878</v>
      </c>
      <c r="J451">
        <v>0.7656347</v>
      </c>
      <c r="K451">
        <v>0.35599999999999998</v>
      </c>
      <c r="L451">
        <v>11.6</v>
      </c>
      <c r="M451">
        <v>0.16033577798981111</v>
      </c>
      <c r="N451">
        <v>189</v>
      </c>
      <c r="O451">
        <v>5</v>
      </c>
      <c r="P451">
        <v>31.966041826783481</v>
      </c>
      <c r="Q451">
        <v>41.357041207077529</v>
      </c>
      <c r="R451">
        <v>23.037707890680821</v>
      </c>
      <c r="S451">
        <v>3.4842005244413792</v>
      </c>
      <c r="T451">
        <v>0.15500855101679181</v>
      </c>
      <c r="U451" t="s">
        <v>101</v>
      </c>
      <c r="V451">
        <v>856.4100711822698</v>
      </c>
      <c r="W451">
        <v>31.74139400414963</v>
      </c>
      <c r="AK451" t="s">
        <v>132</v>
      </c>
      <c r="AL451">
        <f t="shared" si="21"/>
        <v>13.025247888152887</v>
      </c>
      <c r="AM451">
        <f t="shared" si="22"/>
        <v>4.575304123156422E-2</v>
      </c>
      <c r="AN451">
        <f t="shared" si="23"/>
        <v>5.2696738077295732E-2</v>
      </c>
    </row>
    <row r="452" spans="1:40" x14ac:dyDescent="0.2">
      <c r="A452" t="s">
        <v>101</v>
      </c>
      <c r="B452">
        <v>2019</v>
      </c>
      <c r="C452">
        <v>163.9067346548585</v>
      </c>
      <c r="D452">
        <v>79.865087865518518</v>
      </c>
      <c r="E452">
        <v>7.0723064443376069</v>
      </c>
      <c r="F452">
        <v>3.4990282539570581</v>
      </c>
      <c r="G452">
        <v>6.3483695642085607</v>
      </c>
      <c r="H452">
        <v>3.3876533493218202</v>
      </c>
      <c r="I452">
        <v>0.3434059559586502</v>
      </c>
      <c r="J452">
        <v>0.57529710000000001</v>
      </c>
      <c r="K452">
        <v>0.36199999999999999</v>
      </c>
      <c r="L452">
        <v>14.8</v>
      </c>
      <c r="M452">
        <v>0.17818657112007319</v>
      </c>
      <c r="N452">
        <v>121</v>
      </c>
      <c r="O452">
        <v>5</v>
      </c>
      <c r="P452">
        <v>29.27373818875845</v>
      </c>
      <c r="Q452">
        <v>42.774403285993067</v>
      </c>
      <c r="R452">
        <v>23.713586700878</v>
      </c>
      <c r="S452">
        <v>3.9306144376884262</v>
      </c>
      <c r="T452">
        <v>0.30765738668205239</v>
      </c>
      <c r="U452" t="s">
        <v>101</v>
      </c>
      <c r="V452">
        <v>2442.2375300270619</v>
      </c>
      <c r="W452">
        <v>29.129140758472911</v>
      </c>
      <c r="AK452" t="s">
        <v>132</v>
      </c>
      <c r="AL452">
        <f t="shared" si="21"/>
        <v>12.926289287448686</v>
      </c>
      <c r="AM452">
        <f t="shared" si="22"/>
        <v>4.0826727066817656E-2</v>
      </c>
      <c r="AN452">
        <f t="shared" si="23"/>
        <v>4.3148357870894667E-2</v>
      </c>
    </row>
    <row r="453" spans="1:40" x14ac:dyDescent="0.2">
      <c r="A453" t="s">
        <v>101</v>
      </c>
      <c r="B453">
        <v>2018</v>
      </c>
      <c r="C453">
        <v>165.6434321326557</v>
      </c>
      <c r="D453">
        <v>86.100085321066885</v>
      </c>
      <c r="E453">
        <v>7.1873724821011242</v>
      </c>
      <c r="F453">
        <v>3.0418815150053802</v>
      </c>
      <c r="G453">
        <v>5.8148161887450387</v>
      </c>
      <c r="H453">
        <v>3.329376414289424</v>
      </c>
      <c r="I453">
        <v>0.42660533442148602</v>
      </c>
      <c r="J453">
        <v>0.57019130000000007</v>
      </c>
      <c r="K453">
        <v>0.36399999999999999</v>
      </c>
      <c r="L453">
        <v>14.7</v>
      </c>
      <c r="M453">
        <v>0.1896231523747671</v>
      </c>
      <c r="N453">
        <v>149</v>
      </c>
      <c r="O453">
        <v>5</v>
      </c>
      <c r="P453">
        <v>33.670669722</v>
      </c>
      <c r="Q453">
        <v>40.580511547</v>
      </c>
      <c r="R453">
        <v>19.802445307999999</v>
      </c>
      <c r="S453">
        <v>5.6909948039999998</v>
      </c>
      <c r="T453">
        <v>0.25537861899999831</v>
      </c>
      <c r="U453" t="s">
        <v>101</v>
      </c>
      <c r="V453">
        <v>2365.7790351356398</v>
      </c>
      <c r="W453">
        <v>29.838932100407611</v>
      </c>
      <c r="AK453" t="s">
        <v>132</v>
      </c>
      <c r="AL453">
        <f t="shared" si="21"/>
        <v>13.026740620410001</v>
      </c>
      <c r="AM453">
        <f t="shared" si="22"/>
        <v>3.7679861149991604E-2</v>
      </c>
      <c r="AN453">
        <f t="shared" si="23"/>
        <v>4.3390627624433124E-2</v>
      </c>
    </row>
    <row r="454" spans="1:40" x14ac:dyDescent="0.2">
      <c r="A454" t="s">
        <v>101</v>
      </c>
      <c r="B454">
        <v>2016</v>
      </c>
      <c r="C454">
        <v>189.75409607694169</v>
      </c>
      <c r="D454">
        <v>87.753839752888751</v>
      </c>
      <c r="E454">
        <v>8.1912251732509134</v>
      </c>
      <c r="F454">
        <v>3.269060386603539</v>
      </c>
      <c r="G454">
        <v>5.7580040900403251</v>
      </c>
      <c r="H454">
        <v>2.5168050135498841</v>
      </c>
      <c r="I454">
        <v>0.2321775842758195</v>
      </c>
      <c r="J454">
        <v>0.48465469999999999</v>
      </c>
      <c r="K454">
        <v>0.36</v>
      </c>
      <c r="L454">
        <v>15</v>
      </c>
      <c r="M454">
        <v>0.2116597596893163</v>
      </c>
      <c r="N454">
        <v>141</v>
      </c>
      <c r="O454">
        <v>8</v>
      </c>
      <c r="P454">
        <v>32.999473219999999</v>
      </c>
      <c r="Q454">
        <v>44.418387522000003</v>
      </c>
      <c r="R454">
        <v>17.958665052000001</v>
      </c>
      <c r="S454">
        <v>4.377597153</v>
      </c>
      <c r="T454">
        <v>0.24587705300000101</v>
      </c>
      <c r="U454" t="s">
        <v>101</v>
      </c>
      <c r="AK454" t="s">
        <v>132</v>
      </c>
      <c r="AL454">
        <f t="shared" si="21"/>
        <v>13.103583342470001</v>
      </c>
      <c r="AM454">
        <f t="shared" si="22"/>
        <v>3.1568128425998453E-2</v>
      </c>
      <c r="AN454">
        <f t="shared" si="23"/>
        <v>4.3167580266249041E-2</v>
      </c>
    </row>
    <row r="455" spans="1:40" x14ac:dyDescent="0.2">
      <c r="A455" t="s">
        <v>101</v>
      </c>
      <c r="B455">
        <v>2020</v>
      </c>
      <c r="C455">
        <v>161.14581045909691</v>
      </c>
      <c r="D455">
        <v>79.942850312850055</v>
      </c>
      <c r="E455">
        <v>6.9213385702015531</v>
      </c>
      <c r="F455">
        <v>3.150274583492005</v>
      </c>
      <c r="G455">
        <v>5.6241666828813148</v>
      </c>
      <c r="H455">
        <v>4.030498364173595</v>
      </c>
      <c r="I455">
        <v>0.37062053923435351</v>
      </c>
      <c r="J455">
        <v>0.51702300000000001</v>
      </c>
      <c r="K455">
        <v>0.35199999999999998</v>
      </c>
      <c r="L455">
        <v>14.4</v>
      </c>
      <c r="M455">
        <v>0.17198962330513359</v>
      </c>
      <c r="N455">
        <v>146</v>
      </c>
      <c r="O455">
        <v>5</v>
      </c>
      <c r="P455">
        <v>33.156669370000003</v>
      </c>
      <c r="Q455">
        <v>42.062498669999997</v>
      </c>
      <c r="R455">
        <v>20.422161561999999</v>
      </c>
      <c r="S455">
        <v>4.225776089</v>
      </c>
      <c r="T455">
        <v>0.13289430899999391</v>
      </c>
      <c r="U455" t="s">
        <v>101</v>
      </c>
      <c r="V455">
        <v>2261.319590401883</v>
      </c>
      <c r="W455">
        <v>28.359672881572671</v>
      </c>
      <c r="AK455" t="s">
        <v>132</v>
      </c>
      <c r="AL455">
        <f t="shared" si="21"/>
        <v>13.07369862479</v>
      </c>
      <c r="AM455">
        <f t="shared" si="22"/>
        <v>3.7201011959521621E-2</v>
      </c>
      <c r="AN455">
        <f t="shared" si="23"/>
        <v>4.2950781968721256E-2</v>
      </c>
    </row>
    <row r="456" spans="1:40" x14ac:dyDescent="0.2">
      <c r="A456" t="s">
        <v>101</v>
      </c>
      <c r="B456">
        <v>2017</v>
      </c>
      <c r="C456">
        <v>174.09543688843451</v>
      </c>
      <c r="D456">
        <v>90.602294393038775</v>
      </c>
      <c r="E456">
        <v>8.0174920358034321</v>
      </c>
      <c r="F456">
        <v>2.9660086144012698</v>
      </c>
      <c r="G456">
        <v>5.236858959802241</v>
      </c>
      <c r="H456">
        <v>2.5303760991610829</v>
      </c>
      <c r="I456">
        <v>0.43563251524018642</v>
      </c>
      <c r="J456">
        <v>0.51556029999999997</v>
      </c>
      <c r="K456">
        <v>0.36299999999999999</v>
      </c>
      <c r="L456">
        <v>14.8</v>
      </c>
      <c r="M456">
        <v>0.2002515134024298</v>
      </c>
      <c r="N456">
        <v>152</v>
      </c>
      <c r="O456">
        <v>7</v>
      </c>
      <c r="P456">
        <v>33.343542239000001</v>
      </c>
      <c r="Q456">
        <v>39.960577753999999</v>
      </c>
      <c r="R456">
        <v>22.266506762999999</v>
      </c>
      <c r="S456">
        <v>3.8639931060000001</v>
      </c>
      <c r="T456">
        <v>0.56538013800000897</v>
      </c>
      <c r="U456" t="s">
        <v>101</v>
      </c>
      <c r="V456">
        <v>2481.6305321239579</v>
      </c>
      <c r="W456">
        <v>28.376574058099131</v>
      </c>
      <c r="AK456" t="s">
        <v>132</v>
      </c>
      <c r="AL456">
        <f t="shared" si="21"/>
        <v>13.016096772860001</v>
      </c>
      <c r="AM456">
        <f t="shared" si="22"/>
        <v>3.2582654528030663E-2</v>
      </c>
      <c r="AN456">
        <f t="shared" si="23"/>
        <v>4.6052281318213283E-2</v>
      </c>
    </row>
    <row r="457" spans="1:40" x14ac:dyDescent="0.2">
      <c r="A457" t="s">
        <v>102</v>
      </c>
      <c r="B457">
        <v>2021</v>
      </c>
      <c r="C457">
        <v>107.3344765598313</v>
      </c>
      <c r="D457">
        <v>41.321772254099919</v>
      </c>
      <c r="E457">
        <v>4.8719390800592084</v>
      </c>
      <c r="F457">
        <v>2.0702290708466888</v>
      </c>
      <c r="G457">
        <v>7.0456796044482317</v>
      </c>
      <c r="H457">
        <v>2.9535268077412762</v>
      </c>
      <c r="I457">
        <v>0.4278473413083157</v>
      </c>
      <c r="J457">
        <v>0.59084639999999999</v>
      </c>
      <c r="K457">
        <v>0.34</v>
      </c>
      <c r="L457">
        <v>10.1</v>
      </c>
      <c r="M457">
        <v>0.13148914013193019</v>
      </c>
      <c r="N457">
        <v>152</v>
      </c>
      <c r="O457">
        <v>6</v>
      </c>
      <c r="P457">
        <v>32.029178909799917</v>
      </c>
      <c r="Q457">
        <v>48.110437282403502</v>
      </c>
      <c r="R457">
        <v>16.837484073754851</v>
      </c>
      <c r="S457">
        <v>2.801575622216852</v>
      </c>
      <c r="T457">
        <v>0.2213241118248703</v>
      </c>
      <c r="U457" t="s">
        <v>102</v>
      </c>
      <c r="V457">
        <v>1111.6572699794081</v>
      </c>
      <c r="W457">
        <v>39.164340682165601</v>
      </c>
      <c r="AK457" t="s">
        <v>136</v>
      </c>
      <c r="AL457">
        <f t="shared" si="21"/>
        <v>13.171851701767986</v>
      </c>
      <c r="AM457">
        <f t="shared" si="22"/>
        <v>6.9628391410569646E-2</v>
      </c>
      <c r="AN457">
        <f t="shared" si="23"/>
        <v>4.539025331104541E-2</v>
      </c>
    </row>
    <row r="458" spans="1:40" x14ac:dyDescent="0.2">
      <c r="A458" t="s">
        <v>102</v>
      </c>
      <c r="B458">
        <v>2020</v>
      </c>
      <c r="C458">
        <v>88.859969156832932</v>
      </c>
      <c r="D458">
        <v>42.397418504672522</v>
      </c>
      <c r="E458">
        <v>5.0950565674051438</v>
      </c>
      <c r="F458">
        <v>2.0462074567892139</v>
      </c>
      <c r="G458">
        <v>6.6774570006554681</v>
      </c>
      <c r="H458">
        <v>2.5372972464186252</v>
      </c>
      <c r="I458">
        <v>0.38195872526731989</v>
      </c>
      <c r="J458">
        <v>0.47122900000000001</v>
      </c>
      <c r="K458">
        <v>0.33600000000000002</v>
      </c>
      <c r="L458">
        <v>10.5</v>
      </c>
      <c r="M458">
        <v>0.13685595108309229</v>
      </c>
      <c r="N458">
        <v>150</v>
      </c>
      <c r="O458">
        <v>5</v>
      </c>
      <c r="P458">
        <v>30.841144243999999</v>
      </c>
      <c r="Q458">
        <v>46.827984298999993</v>
      </c>
      <c r="R458">
        <v>20.302245008</v>
      </c>
      <c r="S458">
        <v>1.84465232</v>
      </c>
      <c r="T458">
        <v>0.18397412900000629</v>
      </c>
      <c r="U458" t="s">
        <v>102</v>
      </c>
      <c r="V458">
        <v>2833.4158367962882</v>
      </c>
      <c r="W458">
        <v>38.19182042287219</v>
      </c>
      <c r="AK458" t="s">
        <v>136</v>
      </c>
      <c r="AL458">
        <f t="shared" si="21"/>
        <v>13.120434220309996</v>
      </c>
      <c r="AM458">
        <f t="shared" si="22"/>
        <v>7.9444273871661031E-2</v>
      </c>
      <c r="AN458">
        <f t="shared" si="23"/>
        <v>5.733804114215537E-2</v>
      </c>
    </row>
    <row r="459" spans="1:40" x14ac:dyDescent="0.2">
      <c r="A459" t="s">
        <v>102</v>
      </c>
      <c r="B459">
        <v>2019</v>
      </c>
      <c r="C459">
        <v>88.219104717416201</v>
      </c>
      <c r="D459">
        <v>42.486634596008429</v>
      </c>
      <c r="E459">
        <v>4.2669212844312154</v>
      </c>
      <c r="F459">
        <v>1.771685224280473</v>
      </c>
      <c r="G459">
        <v>6.4781467361095144</v>
      </c>
      <c r="H459">
        <v>2.461425273427833</v>
      </c>
      <c r="I459">
        <v>0.2299133497157865</v>
      </c>
      <c r="J459">
        <v>0.44458510000000001</v>
      </c>
      <c r="K459">
        <v>0.34100000000000003</v>
      </c>
      <c r="L459">
        <v>10.6</v>
      </c>
      <c r="M459">
        <v>0.14324261971458041</v>
      </c>
      <c r="N459">
        <v>117</v>
      </c>
      <c r="O459">
        <v>6</v>
      </c>
      <c r="P459">
        <v>31.162098620359441</v>
      </c>
      <c r="Q459">
        <v>46.093514854177322</v>
      </c>
      <c r="R459">
        <v>20.11831676244433</v>
      </c>
      <c r="S459">
        <v>2.3817116841969121</v>
      </c>
      <c r="T459">
        <v>0.24435807882198901</v>
      </c>
      <c r="U459" t="s">
        <v>102</v>
      </c>
      <c r="V459">
        <v>2868.3574499541442</v>
      </c>
      <c r="W459">
        <v>38.527588908475337</v>
      </c>
      <c r="AK459" t="s">
        <v>136</v>
      </c>
      <c r="AL459">
        <f t="shared" si="21"/>
        <v>13.103614942696449</v>
      </c>
      <c r="AM459">
        <f t="shared" si="22"/>
        <v>7.6038632531044009E-2</v>
      </c>
      <c r="AN459">
        <f t="shared" si="23"/>
        <v>4.836731565230723E-2</v>
      </c>
    </row>
    <row r="460" spans="1:40" x14ac:dyDescent="0.2">
      <c r="A460" t="s">
        <v>102</v>
      </c>
      <c r="B460">
        <v>2016</v>
      </c>
      <c r="C460">
        <v>79.710789500586145</v>
      </c>
      <c r="D460">
        <v>41.036983735228482</v>
      </c>
      <c r="E460">
        <v>4.6267838342695322</v>
      </c>
      <c r="F460">
        <v>1.8918700039696079</v>
      </c>
      <c r="G460">
        <v>6.2199375218228861</v>
      </c>
      <c r="H460">
        <v>1.9516132672528581</v>
      </c>
      <c r="I460">
        <v>9.2933965107278901E-2</v>
      </c>
      <c r="J460">
        <v>0.35983979999999999</v>
      </c>
      <c r="K460">
        <v>0.36199999999999999</v>
      </c>
      <c r="L460">
        <v>10.199999999999999</v>
      </c>
      <c r="M460">
        <v>0.16696596587012039</v>
      </c>
      <c r="N460">
        <v>158</v>
      </c>
      <c r="O460">
        <v>6</v>
      </c>
      <c r="P460">
        <v>30.482158299000002</v>
      </c>
      <c r="Q460">
        <v>47.154815674000012</v>
      </c>
      <c r="R460">
        <v>19.029530390000001</v>
      </c>
      <c r="S460">
        <v>3.2936549080000002</v>
      </c>
      <c r="T460">
        <v>3.9840728999990922E-2</v>
      </c>
      <c r="U460" t="s">
        <v>102</v>
      </c>
      <c r="AK460" t="s">
        <v>136</v>
      </c>
      <c r="AL460">
        <f t="shared" si="21"/>
        <v>13.093720696250005</v>
      </c>
      <c r="AM460">
        <f t="shared" si="22"/>
        <v>7.9197201865423048E-2</v>
      </c>
      <c r="AN460">
        <f t="shared" si="23"/>
        <v>5.8044636908727514E-2</v>
      </c>
    </row>
    <row r="461" spans="1:40" x14ac:dyDescent="0.2">
      <c r="A461" t="s">
        <v>102</v>
      </c>
      <c r="B461">
        <v>2022</v>
      </c>
      <c r="C461">
        <v>105.73999959911539</v>
      </c>
      <c r="D461">
        <v>39.573993278501227</v>
      </c>
      <c r="E461">
        <v>5.3518096599830294</v>
      </c>
      <c r="F461">
        <v>2.305086557670593</v>
      </c>
      <c r="G461">
        <v>6.1869859489941144</v>
      </c>
      <c r="H461">
        <v>2.4921660464090758</v>
      </c>
      <c r="I461">
        <v>0.47438013215829589</v>
      </c>
      <c r="J461">
        <v>0.67443200000000003</v>
      </c>
      <c r="K461">
        <v>0.34899999999999998</v>
      </c>
      <c r="L461">
        <v>9.1</v>
      </c>
      <c r="M461">
        <v>0.12785880843728489</v>
      </c>
      <c r="N461">
        <v>144</v>
      </c>
      <c r="O461">
        <v>6</v>
      </c>
      <c r="P461">
        <v>31.780347230675272</v>
      </c>
      <c r="Q461">
        <v>49.39843808414652</v>
      </c>
      <c r="R461">
        <v>16.28391568270311</v>
      </c>
      <c r="S461">
        <v>2.3815877675438868</v>
      </c>
      <c r="T461">
        <v>0.15571123493120351</v>
      </c>
      <c r="U461" t="s">
        <v>102</v>
      </c>
      <c r="V461">
        <v>1017.384245267207</v>
      </c>
      <c r="W461">
        <v>38.402602179546157</v>
      </c>
      <c r="AK461" t="s">
        <v>136</v>
      </c>
      <c r="AL461">
        <f t="shared" si="21"/>
        <v>13.200651109113876</v>
      </c>
      <c r="AM461">
        <f t="shared" si="22"/>
        <v>6.2997598887905973E-2</v>
      </c>
      <c r="AN461">
        <f t="shared" si="23"/>
        <v>5.0612915455579423E-2</v>
      </c>
    </row>
    <row r="462" spans="1:40" x14ac:dyDescent="0.2">
      <c r="A462" t="s">
        <v>102</v>
      </c>
      <c r="B462">
        <v>2018</v>
      </c>
      <c r="C462">
        <v>90.035559756142518</v>
      </c>
      <c r="D462">
        <v>44.246927482898798</v>
      </c>
      <c r="E462">
        <v>4.8060971072925991</v>
      </c>
      <c r="F462">
        <v>1.5685170475682959</v>
      </c>
      <c r="G462">
        <v>6.1467099684620834</v>
      </c>
      <c r="H462">
        <v>2.2388234781530381</v>
      </c>
      <c r="I462">
        <v>9.3842900281863803E-2</v>
      </c>
      <c r="J462">
        <v>0.43598429999999999</v>
      </c>
      <c r="K462">
        <v>0.34799999999999998</v>
      </c>
      <c r="L462">
        <v>10.3</v>
      </c>
      <c r="M462">
        <v>0.1514335871219509</v>
      </c>
      <c r="N462">
        <v>151</v>
      </c>
      <c r="O462">
        <v>6</v>
      </c>
      <c r="P462">
        <v>30.315557951999999</v>
      </c>
      <c r="Q462">
        <v>48.470260844000002</v>
      </c>
      <c r="R462">
        <v>18.478164097000001</v>
      </c>
      <c r="S462">
        <v>2.6228841329999999</v>
      </c>
      <c r="T462">
        <v>0.1131329739999956</v>
      </c>
      <c r="U462" t="s">
        <v>102</v>
      </c>
      <c r="V462">
        <v>2835.8277740017052</v>
      </c>
      <c r="W462">
        <v>38.534578160114023</v>
      </c>
      <c r="AK462" t="s">
        <v>136</v>
      </c>
      <c r="AL462">
        <f t="shared" si="21"/>
        <v>13.121650544119998</v>
      </c>
      <c r="AM462">
        <f t="shared" si="22"/>
        <v>6.9312090530077433E-2</v>
      </c>
      <c r="AN462">
        <f t="shared" si="23"/>
        <v>5.3379988088147715E-2</v>
      </c>
    </row>
    <row r="463" spans="1:40" x14ac:dyDescent="0.2">
      <c r="A463" t="s">
        <v>102</v>
      </c>
      <c r="B463">
        <v>2017</v>
      </c>
      <c r="C463">
        <v>83.699197754860734</v>
      </c>
      <c r="D463">
        <v>43.316835810184891</v>
      </c>
      <c r="E463">
        <v>4.7351737375259848</v>
      </c>
      <c r="F463">
        <v>1.8140383895874199</v>
      </c>
      <c r="G463">
        <v>5.8155936607361394</v>
      </c>
      <c r="H463">
        <v>1.914077271366138</v>
      </c>
      <c r="I463">
        <v>2.0007776355743599E-2</v>
      </c>
      <c r="J463">
        <v>0.38756489999999999</v>
      </c>
      <c r="K463">
        <v>0.35899999999999999</v>
      </c>
      <c r="L463">
        <v>10.199999999999999</v>
      </c>
      <c r="M463">
        <v>0.15926042021697059</v>
      </c>
      <c r="N463">
        <v>150</v>
      </c>
      <c r="O463">
        <v>6</v>
      </c>
      <c r="P463">
        <v>30.546301822</v>
      </c>
      <c r="Q463">
        <v>47.416266084999997</v>
      </c>
      <c r="R463">
        <v>19.095484320000001</v>
      </c>
      <c r="S463">
        <v>2.9027338500000002</v>
      </c>
      <c r="T463">
        <v>3.9213923000005479E-2</v>
      </c>
      <c r="U463" t="s">
        <v>102</v>
      </c>
      <c r="V463">
        <v>2842.0825146751522</v>
      </c>
      <c r="W463">
        <v>37.47778916277403</v>
      </c>
      <c r="AK463" t="s">
        <v>136</v>
      </c>
      <c r="AL463">
        <f t="shared" si="21"/>
        <v>13.10937774297</v>
      </c>
      <c r="AM463">
        <f t="shared" si="22"/>
        <v>6.9721115537848599E-2</v>
      </c>
      <c r="AN463">
        <f t="shared" si="23"/>
        <v>5.6573705179282854E-2</v>
      </c>
    </row>
    <row r="464" spans="1:40" x14ac:dyDescent="0.2">
      <c r="A464" t="s">
        <v>103</v>
      </c>
      <c r="B464">
        <v>2017</v>
      </c>
      <c r="C464">
        <v>366.28472767226492</v>
      </c>
      <c r="D464">
        <v>156.23920891539791</v>
      </c>
      <c r="E464">
        <v>11.301208601475439</v>
      </c>
      <c r="F464">
        <v>9.7943807879453768</v>
      </c>
      <c r="G464">
        <v>6.7493329147700516</v>
      </c>
      <c r="H464">
        <v>4.2693454716684984</v>
      </c>
      <c r="I464">
        <v>6.2784492230419001E-2</v>
      </c>
      <c r="J464">
        <v>0.20188249999999999</v>
      </c>
      <c r="K464">
        <v>0.34799999999999998</v>
      </c>
      <c r="L464">
        <v>35.799999999999997</v>
      </c>
      <c r="M464">
        <v>0.19576323287551531</v>
      </c>
      <c r="N464">
        <v>65</v>
      </c>
      <c r="O464">
        <v>1</v>
      </c>
      <c r="P464">
        <v>30.680874713000001</v>
      </c>
      <c r="Q464">
        <v>42.088596893999998</v>
      </c>
      <c r="R464">
        <v>21.243956059999999</v>
      </c>
      <c r="S464">
        <v>5.7741958799999997</v>
      </c>
      <c r="T464">
        <v>0.21237645300000449</v>
      </c>
      <c r="U464" t="s">
        <v>127</v>
      </c>
      <c r="V464">
        <v>2363.81176817696</v>
      </c>
      <c r="W464">
        <v>36.488993750790542</v>
      </c>
      <c r="AK464" t="s">
        <v>132</v>
      </c>
      <c r="AL464">
        <f t="shared" si="21"/>
        <v>12.93865665709</v>
      </c>
      <c r="AM464">
        <f t="shared" si="22"/>
        <v>1.85978745286253E-2</v>
      </c>
      <c r="AN464">
        <f t="shared" si="23"/>
        <v>3.0853616729516638E-2</v>
      </c>
    </row>
    <row r="465" spans="1:40" x14ac:dyDescent="0.2">
      <c r="A465" t="s">
        <v>103</v>
      </c>
      <c r="B465">
        <v>2016</v>
      </c>
      <c r="C465">
        <v>345.77695263863228</v>
      </c>
      <c r="D465">
        <v>147.16272173414399</v>
      </c>
      <c r="E465">
        <v>11.27877910384397</v>
      </c>
      <c r="F465">
        <v>12.13419212576472</v>
      </c>
      <c r="G465">
        <v>6.4631206100678948</v>
      </c>
      <c r="H465">
        <v>4.1503372545043833</v>
      </c>
      <c r="I465">
        <v>0.25345571019874091</v>
      </c>
      <c r="J465">
        <v>0.1819162</v>
      </c>
      <c r="K465">
        <v>0.34699999999999998</v>
      </c>
      <c r="L465">
        <v>37.799999999999997</v>
      </c>
      <c r="M465">
        <v>0.2012962040638771</v>
      </c>
      <c r="N465">
        <v>62</v>
      </c>
      <c r="O465">
        <v>1</v>
      </c>
      <c r="P465">
        <v>30.729955443000001</v>
      </c>
      <c r="Q465">
        <v>41.214823158999998</v>
      </c>
      <c r="R465">
        <v>24.191921920999999</v>
      </c>
      <c r="S465">
        <v>3.599562347</v>
      </c>
      <c r="T465">
        <v>0.26373712999999549</v>
      </c>
      <c r="U465" t="s">
        <v>127</v>
      </c>
      <c r="AK465" t="s">
        <v>132</v>
      </c>
      <c r="AL465">
        <f t="shared" si="21"/>
        <v>12.963041834859999</v>
      </c>
      <c r="AM465">
        <f t="shared" si="22"/>
        <v>1.9424592266813274E-2</v>
      </c>
      <c r="AN465">
        <f t="shared" si="23"/>
        <v>3.2618654938610957E-2</v>
      </c>
    </row>
    <row r="466" spans="1:40" x14ac:dyDescent="0.2">
      <c r="A466" t="s">
        <v>103</v>
      </c>
      <c r="B466">
        <v>2021</v>
      </c>
      <c r="C466">
        <v>256.77426385122038</v>
      </c>
      <c r="D466">
        <v>134.9101607903913</v>
      </c>
      <c r="E466">
        <v>8.4148585819449817</v>
      </c>
      <c r="F466">
        <v>8.1727043781480049</v>
      </c>
      <c r="G466">
        <v>6.205201472297559</v>
      </c>
      <c r="H466">
        <v>3.662582332429289</v>
      </c>
      <c r="I466">
        <v>0.21188492832235559</v>
      </c>
      <c r="J466">
        <v>0.27323160000000002</v>
      </c>
      <c r="K466">
        <v>0.36499999999999999</v>
      </c>
      <c r="L466">
        <v>28.5</v>
      </c>
      <c r="M466">
        <v>0.17918399635627039</v>
      </c>
      <c r="N466">
        <v>61</v>
      </c>
      <c r="O466">
        <v>1</v>
      </c>
      <c r="P466">
        <v>34.185764856467991</v>
      </c>
      <c r="Q466">
        <v>42.138321983879017</v>
      </c>
      <c r="R466">
        <v>14.76363984302956</v>
      </c>
      <c r="S466">
        <v>8.1244993649576482</v>
      </c>
      <c r="T466">
        <v>0.78777395166578401</v>
      </c>
      <c r="U466" t="s">
        <v>127</v>
      </c>
      <c r="V466">
        <v>506.32167778621118</v>
      </c>
      <c r="W466">
        <v>24.432190311606679</v>
      </c>
      <c r="AK466" t="s">
        <v>132</v>
      </c>
      <c r="AL466">
        <f t="shared" si="21"/>
        <v>12.99256287002054</v>
      </c>
      <c r="AM466">
        <f t="shared" si="22"/>
        <v>2.4991158788164571E-2</v>
      </c>
      <c r="AN466">
        <f t="shared" si="23"/>
        <v>3.277142520334788E-2</v>
      </c>
    </row>
    <row r="467" spans="1:40" x14ac:dyDescent="0.2">
      <c r="A467" t="s">
        <v>103</v>
      </c>
      <c r="B467">
        <v>2022</v>
      </c>
      <c r="C467">
        <v>196.84699822454061</v>
      </c>
      <c r="D467">
        <v>138.73564688283449</v>
      </c>
      <c r="E467">
        <v>8.0297158967556967</v>
      </c>
      <c r="F467">
        <v>10.111494092210879</v>
      </c>
      <c r="G467">
        <v>5.5910614392224858</v>
      </c>
      <c r="H467">
        <v>4.49069296448189</v>
      </c>
      <c r="I467">
        <v>0.23791750805202061</v>
      </c>
      <c r="J467">
        <v>0.32005929999999999</v>
      </c>
      <c r="K467">
        <v>0.372</v>
      </c>
      <c r="L467">
        <v>25.9</v>
      </c>
      <c r="M467">
        <v>0.17806043699498289</v>
      </c>
      <c r="N467">
        <v>56</v>
      </c>
      <c r="O467">
        <v>1</v>
      </c>
      <c r="P467">
        <v>36.511398779192632</v>
      </c>
      <c r="Q467">
        <v>40.412577712060141</v>
      </c>
      <c r="R467">
        <v>15.64774561556713</v>
      </c>
      <c r="S467">
        <v>7.234696420764152</v>
      </c>
      <c r="T467">
        <v>0.19358147241594281</v>
      </c>
      <c r="U467" t="s">
        <v>127</v>
      </c>
      <c r="V467">
        <v>570.14526729925751</v>
      </c>
      <c r="W467">
        <v>29.305973490620609</v>
      </c>
      <c r="AK467" t="s">
        <v>132</v>
      </c>
      <c r="AL467">
        <f t="shared" si="21"/>
        <v>13.110462873924508</v>
      </c>
      <c r="AM467">
        <f t="shared" si="22"/>
        <v>2.9611723825351259E-2</v>
      </c>
      <c r="AN467">
        <f t="shared" si="23"/>
        <v>4.0791660371657344E-2</v>
      </c>
    </row>
    <row r="468" spans="1:40" x14ac:dyDescent="0.2">
      <c r="A468" t="s">
        <v>103</v>
      </c>
      <c r="B468">
        <v>2020</v>
      </c>
      <c r="C468">
        <v>261.03982186002332</v>
      </c>
      <c r="D468">
        <v>127.98465405961819</v>
      </c>
      <c r="E468">
        <v>8.9803074686223781</v>
      </c>
      <c r="F468">
        <v>8.2777664081519209</v>
      </c>
      <c r="G468">
        <v>5.4370569027713724</v>
      </c>
      <c r="H468">
        <v>2.993435822874126</v>
      </c>
      <c r="I468">
        <v>0.1221810539948622</v>
      </c>
      <c r="J468">
        <v>0.24776670000000001</v>
      </c>
      <c r="K468">
        <v>0.36099999999999999</v>
      </c>
      <c r="L468">
        <v>31.7</v>
      </c>
      <c r="M468">
        <v>0.18148104383867941</v>
      </c>
      <c r="N468">
        <v>61</v>
      </c>
      <c r="O468">
        <v>1</v>
      </c>
      <c r="P468">
        <v>34.051473563999998</v>
      </c>
      <c r="Q468">
        <v>42.371075247999997</v>
      </c>
      <c r="R468">
        <v>16.155087395999999</v>
      </c>
      <c r="S468">
        <v>6.7744774970000003</v>
      </c>
      <c r="T468">
        <v>0.64788629499999217</v>
      </c>
      <c r="U468" t="s">
        <v>127</v>
      </c>
      <c r="V468">
        <v>2167.2244402015808</v>
      </c>
      <c r="W468">
        <v>30.06820235735367</v>
      </c>
      <c r="AK468" t="s">
        <v>132</v>
      </c>
      <c r="AL468">
        <f t="shared" si="21"/>
        <v>13.02863885693</v>
      </c>
      <c r="AM468">
        <f t="shared" si="22"/>
        <v>2.1296512988532645E-2</v>
      </c>
      <c r="AN468">
        <f t="shared" si="23"/>
        <v>3.440205944301427E-2</v>
      </c>
    </row>
    <row r="469" spans="1:40" x14ac:dyDescent="0.2">
      <c r="A469" t="s">
        <v>103</v>
      </c>
      <c r="B469">
        <v>2018</v>
      </c>
      <c r="C469">
        <v>287.63963919160022</v>
      </c>
      <c r="D469">
        <v>158.33545732029521</v>
      </c>
      <c r="E469">
        <v>10.38163383293651</v>
      </c>
      <c r="F469">
        <v>7.4909393824482011</v>
      </c>
      <c r="G469">
        <v>5.3462305966020356</v>
      </c>
      <c r="H469">
        <v>3.139356338702358</v>
      </c>
      <c r="I469">
        <v>0.1554136801337801</v>
      </c>
      <c r="J469">
        <v>0.22643669999999999</v>
      </c>
      <c r="K469">
        <v>0.34200000000000003</v>
      </c>
      <c r="L469">
        <v>34.4</v>
      </c>
      <c r="M469">
        <v>0.18881969551484909</v>
      </c>
      <c r="N469">
        <v>62</v>
      </c>
      <c r="O469">
        <v>1</v>
      </c>
      <c r="P469">
        <v>34.146629752000003</v>
      </c>
      <c r="Q469">
        <v>38.143575515000002</v>
      </c>
      <c r="R469">
        <v>20.219986892000001</v>
      </c>
      <c r="S469">
        <v>7.1129638880000003</v>
      </c>
      <c r="T469">
        <v>0.37684395299999102</v>
      </c>
      <c r="U469" t="s">
        <v>127</v>
      </c>
      <c r="V469">
        <v>2413.542238247167</v>
      </c>
      <c r="W469">
        <v>35.268602627862727</v>
      </c>
      <c r="AK469" t="s">
        <v>132</v>
      </c>
      <c r="AL469">
        <f t="shared" si="21"/>
        <v>12.960098345909998</v>
      </c>
      <c r="AM469">
        <f t="shared" si="22"/>
        <v>1.912686405878539E-2</v>
      </c>
      <c r="AN469">
        <f t="shared" si="23"/>
        <v>3.6092500540306889E-2</v>
      </c>
    </row>
    <row r="470" spans="1:40" x14ac:dyDescent="0.2">
      <c r="A470" t="s">
        <v>103</v>
      </c>
      <c r="B470">
        <v>2019</v>
      </c>
      <c r="C470">
        <v>265.88743708060161</v>
      </c>
      <c r="D470">
        <v>142.4066727698098</v>
      </c>
      <c r="E470">
        <v>10.63426452501826</v>
      </c>
      <c r="F470">
        <v>8.1375241582748448</v>
      </c>
      <c r="G470">
        <v>3.7913464828325978</v>
      </c>
      <c r="H470">
        <v>3.0823955144980482</v>
      </c>
      <c r="I470">
        <v>6.1647910289960903E-2</v>
      </c>
      <c r="J470">
        <v>0.2414828</v>
      </c>
      <c r="K470">
        <v>0.34100000000000003</v>
      </c>
      <c r="L470">
        <v>34.1</v>
      </c>
      <c r="M470">
        <v>0.1839761885096711</v>
      </c>
      <c r="N470">
        <v>47</v>
      </c>
      <c r="O470">
        <v>1</v>
      </c>
      <c r="P470">
        <v>32.619169873735338</v>
      </c>
      <c r="Q470">
        <v>43.682816606597491</v>
      </c>
      <c r="R470">
        <v>16.584633754785791</v>
      </c>
      <c r="S470">
        <v>6.88599535693238</v>
      </c>
      <c r="T470">
        <v>0.2273844079490033</v>
      </c>
      <c r="U470" t="s">
        <v>127</v>
      </c>
      <c r="V470">
        <v>2356.6764175967019</v>
      </c>
      <c r="W470">
        <v>30.822995999983672</v>
      </c>
      <c r="AK470" t="s">
        <v>132</v>
      </c>
      <c r="AL470">
        <f t="shared" si="21"/>
        <v>13.024786311386286</v>
      </c>
      <c r="AM470">
        <f t="shared" si="22"/>
        <v>1.449107349872478E-2</v>
      </c>
      <c r="AN470">
        <f t="shared" si="23"/>
        <v>3.9995362856480386E-2</v>
      </c>
    </row>
    <row r="471" spans="1:40" x14ac:dyDescent="0.2">
      <c r="A471" t="s">
        <v>104</v>
      </c>
      <c r="B471">
        <v>2021</v>
      </c>
      <c r="C471">
        <v>156.53863024810991</v>
      </c>
      <c r="D471">
        <v>68.323669535029737</v>
      </c>
      <c r="E471">
        <v>10.56117414339483</v>
      </c>
      <c r="F471">
        <v>3.0258087883223221</v>
      </c>
      <c r="G471">
        <v>8.8376941911598443</v>
      </c>
      <c r="H471">
        <v>3.68669207827709</v>
      </c>
      <c r="I471">
        <v>0.45354735585131162</v>
      </c>
      <c r="J471">
        <v>0.98584649999999996</v>
      </c>
      <c r="K471">
        <v>0.374</v>
      </c>
      <c r="L471">
        <v>13.6</v>
      </c>
      <c r="M471">
        <v>0.1543044644588113</v>
      </c>
      <c r="N471">
        <v>137</v>
      </c>
      <c r="O471">
        <v>5</v>
      </c>
      <c r="P471">
        <v>33.959261326091912</v>
      </c>
      <c r="Q471">
        <v>46.147672636863803</v>
      </c>
      <c r="R471">
        <v>15.773019063783559</v>
      </c>
      <c r="S471">
        <v>3.7459930267003938</v>
      </c>
      <c r="T471">
        <v>0.37405394656033758</v>
      </c>
      <c r="U471" t="s">
        <v>104</v>
      </c>
      <c r="V471">
        <v>1253.2038136382259</v>
      </c>
      <c r="W471">
        <v>38.882193688355272</v>
      </c>
      <c r="X471">
        <v>3.24</v>
      </c>
      <c r="AA471">
        <v>-3.14</v>
      </c>
      <c r="AD471">
        <v>762.09</v>
      </c>
      <c r="AF471">
        <v>67.930000000000007</v>
      </c>
      <c r="AH471">
        <v>4.3099999999999996</v>
      </c>
      <c r="AI471">
        <v>12.15</v>
      </c>
      <c r="AK471" t="s">
        <v>137</v>
      </c>
      <c r="AL471">
        <f t="shared" si="21"/>
        <v>13.180220268987721</v>
      </c>
      <c r="AM471">
        <f t="shared" si="22"/>
        <v>5.9354304635761565E-2</v>
      </c>
      <c r="AN471">
        <f t="shared" si="23"/>
        <v>6.7466887417218527E-2</v>
      </c>
    </row>
    <row r="472" spans="1:40" x14ac:dyDescent="0.2">
      <c r="A472" t="s">
        <v>104</v>
      </c>
      <c r="B472">
        <v>2017</v>
      </c>
      <c r="C472">
        <v>178.98332975844829</v>
      </c>
      <c r="D472">
        <v>86.318249573889489</v>
      </c>
      <c r="E472">
        <v>8.0248839064539421</v>
      </c>
      <c r="F472">
        <v>2.889228860080804</v>
      </c>
      <c r="G472">
        <v>8.2143415366231753</v>
      </c>
      <c r="H472">
        <v>4.0530400168346636</v>
      </c>
      <c r="I472">
        <v>0.25035472558077221</v>
      </c>
      <c r="J472">
        <v>0.713731</v>
      </c>
      <c r="K472">
        <v>0.38200000000000001</v>
      </c>
      <c r="L472">
        <v>15.7</v>
      </c>
      <c r="M472">
        <v>0.18716899715197219</v>
      </c>
      <c r="N472">
        <v>149</v>
      </c>
      <c r="O472">
        <v>5</v>
      </c>
      <c r="P472">
        <v>36.228500846000003</v>
      </c>
      <c r="Q472">
        <v>45.868740936999998</v>
      </c>
      <c r="R472">
        <v>14.666750041</v>
      </c>
      <c r="S472">
        <v>3.0886575299999999</v>
      </c>
      <c r="T472">
        <v>0.14735064599999251</v>
      </c>
      <c r="U472" t="s">
        <v>104</v>
      </c>
      <c r="V472">
        <v>3235.7752475061579</v>
      </c>
      <c r="W472">
        <v>37.201075774606998</v>
      </c>
      <c r="X472">
        <v>1.1399999999999999</v>
      </c>
      <c r="AA472">
        <v>-4.0599999999999996</v>
      </c>
      <c r="AD472">
        <v>761.97</v>
      </c>
      <c r="AF472">
        <v>71.989999999999995</v>
      </c>
      <c r="AH472">
        <v>4.33</v>
      </c>
      <c r="AI472">
        <v>12</v>
      </c>
      <c r="AK472" t="s">
        <v>137</v>
      </c>
      <c r="AL472">
        <f t="shared" si="21"/>
        <v>13.294427156760001</v>
      </c>
      <c r="AM472">
        <f t="shared" si="22"/>
        <v>4.7293210343263267E-2</v>
      </c>
      <c r="AN472">
        <f t="shared" si="23"/>
        <v>4.4835929230303946E-2</v>
      </c>
    </row>
    <row r="473" spans="1:40" x14ac:dyDescent="0.2">
      <c r="A473" t="s">
        <v>104</v>
      </c>
      <c r="B473">
        <v>2020</v>
      </c>
      <c r="C473">
        <v>161.02993594446789</v>
      </c>
      <c r="D473">
        <v>73.538977088829569</v>
      </c>
      <c r="E473">
        <v>9.7501261857558408</v>
      </c>
      <c r="F473">
        <v>3.3237588264984881</v>
      </c>
      <c r="G473">
        <v>8.0589768806881157</v>
      </c>
      <c r="H473">
        <v>3.3627853489231279</v>
      </c>
      <c r="I473">
        <v>9.1061885657492805E-2</v>
      </c>
      <c r="J473">
        <v>0.73920819999999998</v>
      </c>
      <c r="K473">
        <v>0.374</v>
      </c>
      <c r="L473">
        <v>14</v>
      </c>
      <c r="M473">
        <v>0.16050502036184339</v>
      </c>
      <c r="N473">
        <v>138</v>
      </c>
      <c r="O473">
        <v>5</v>
      </c>
      <c r="P473">
        <v>34.411009303</v>
      </c>
      <c r="Q473">
        <v>43.388294053999999</v>
      </c>
      <c r="R473">
        <v>18.791320065000001</v>
      </c>
      <c r="S473">
        <v>3.2361609969999998</v>
      </c>
      <c r="T473">
        <v>0.173215581000008</v>
      </c>
      <c r="U473" t="s">
        <v>104</v>
      </c>
      <c r="V473">
        <v>3202.1374011521498</v>
      </c>
      <c r="W473">
        <v>37.47217266610928</v>
      </c>
      <c r="X473">
        <v>4.8099999999999996</v>
      </c>
      <c r="AA473">
        <v>-0.43</v>
      </c>
      <c r="AD473">
        <v>761.23</v>
      </c>
      <c r="AF473">
        <v>72.59</v>
      </c>
      <c r="AH473">
        <v>4.22</v>
      </c>
      <c r="AI473">
        <v>13.03</v>
      </c>
      <c r="AK473" t="s">
        <v>137</v>
      </c>
      <c r="AL473">
        <f t="shared" ref="AL473:AL529" si="24">(15*P473+13*Q473+11*R473+9*S473+4*T473)/100</f>
        <v>13.16735794259</v>
      </c>
      <c r="AM473">
        <f t="shared" ref="AM473:AM529" si="25">(G473+I473)/C473</f>
        <v>5.0611948135880748E-2</v>
      </c>
      <c r="AN473">
        <f t="shared" ref="AN473:AN529" si="26">E473/C473</f>
        <v>6.0548531728400044E-2</v>
      </c>
    </row>
    <row r="474" spans="1:40" x14ac:dyDescent="0.2">
      <c r="A474" t="s">
        <v>104</v>
      </c>
      <c r="B474">
        <v>2018</v>
      </c>
      <c r="C474">
        <v>171.06591432092389</v>
      </c>
      <c r="D474">
        <v>78.850851259591977</v>
      </c>
      <c r="E474">
        <v>8.4869083433915211</v>
      </c>
      <c r="F474">
        <v>2.7288879814835938</v>
      </c>
      <c r="G474">
        <v>8.0198615005948177</v>
      </c>
      <c r="H474">
        <v>4.2234378784330451</v>
      </c>
      <c r="I474">
        <v>0.1000814663135792</v>
      </c>
      <c r="J474">
        <v>0.85316099999999995</v>
      </c>
      <c r="K474">
        <v>0.39100000000000001</v>
      </c>
      <c r="L474">
        <v>14.6</v>
      </c>
      <c r="M474">
        <v>0.17713659467528289</v>
      </c>
      <c r="N474">
        <v>141</v>
      </c>
      <c r="O474">
        <v>5</v>
      </c>
      <c r="P474">
        <v>35.968801331000002</v>
      </c>
      <c r="Q474">
        <v>47.457163609000013</v>
      </c>
      <c r="R474">
        <v>13.121256052</v>
      </c>
      <c r="S474">
        <v>3.2197765860000001</v>
      </c>
      <c r="T474">
        <v>0.2330024219999984</v>
      </c>
      <c r="U474" t="s">
        <v>104</v>
      </c>
      <c r="V474">
        <v>3200.6775561370941</v>
      </c>
      <c r="W474">
        <v>40.105104080996213</v>
      </c>
      <c r="X474">
        <v>1.73</v>
      </c>
      <c r="AA474">
        <v>-3.52</v>
      </c>
      <c r="AD474">
        <v>762.35</v>
      </c>
      <c r="AF474">
        <v>71.52</v>
      </c>
      <c r="AH474">
        <v>4.2699999999999996</v>
      </c>
      <c r="AI474">
        <v>12.39</v>
      </c>
      <c r="AK474" t="s">
        <v>137</v>
      </c>
      <c r="AL474">
        <f t="shared" si="24"/>
        <v>13.307189624160001</v>
      </c>
      <c r="AM474">
        <f t="shared" si="25"/>
        <v>4.746674987323999E-2</v>
      </c>
      <c r="AN474">
        <f t="shared" si="26"/>
        <v>4.9611919341627994E-2</v>
      </c>
    </row>
    <row r="475" spans="1:40" x14ac:dyDescent="0.2">
      <c r="A475" t="s">
        <v>104</v>
      </c>
      <c r="B475">
        <v>2022</v>
      </c>
      <c r="C475">
        <v>147.19792945780549</v>
      </c>
      <c r="D475">
        <v>63.075913224914402</v>
      </c>
      <c r="E475">
        <v>12.75370131879761</v>
      </c>
      <c r="F475">
        <v>3.4192897860572842</v>
      </c>
      <c r="G475">
        <v>7.5935687402038603</v>
      </c>
      <c r="H475">
        <v>3.5939980233010869</v>
      </c>
      <c r="I475">
        <v>0.49292681222358659</v>
      </c>
      <c r="J475">
        <v>1.0712523</v>
      </c>
      <c r="K475">
        <v>0.378</v>
      </c>
      <c r="L475">
        <v>11.9</v>
      </c>
      <c r="M475">
        <v>0.15002093958244669</v>
      </c>
      <c r="N475">
        <v>136</v>
      </c>
      <c r="O475">
        <v>5</v>
      </c>
      <c r="P475">
        <v>34.121696211736797</v>
      </c>
      <c r="Q475">
        <v>49.771156961712933</v>
      </c>
      <c r="R475">
        <v>12.781483633682161</v>
      </c>
      <c r="S475">
        <v>3.1715282784175751</v>
      </c>
      <c r="T475">
        <v>0.15413491445053751</v>
      </c>
      <c r="U475" t="s">
        <v>104</v>
      </c>
      <c r="V475">
        <v>1089.6375361325399</v>
      </c>
      <c r="W475">
        <v>36.490548857169173</v>
      </c>
      <c r="X475">
        <v>3.04</v>
      </c>
      <c r="AA475">
        <v>-2.08</v>
      </c>
      <c r="AD475">
        <v>762.14</v>
      </c>
      <c r="AF475">
        <v>73.03</v>
      </c>
      <c r="AH475">
        <v>4.08</v>
      </c>
      <c r="AI475">
        <v>12.18</v>
      </c>
      <c r="AK475" t="s">
        <v>137</v>
      </c>
      <c r="AL475">
        <f t="shared" si="24"/>
        <v>13.286070978123842</v>
      </c>
      <c r="AM475">
        <f t="shared" si="25"/>
        <v>5.4936204484761136E-2</v>
      </c>
      <c r="AN475">
        <f t="shared" si="26"/>
        <v>8.6643211394175745E-2</v>
      </c>
    </row>
    <row r="476" spans="1:40" x14ac:dyDescent="0.2">
      <c r="A476" t="s">
        <v>104</v>
      </c>
      <c r="B476">
        <v>2019</v>
      </c>
      <c r="C476">
        <v>175.46643664461931</v>
      </c>
      <c r="D476">
        <v>74.109679692104066</v>
      </c>
      <c r="E476">
        <v>9.0999180217225977</v>
      </c>
      <c r="F476">
        <v>2.7721168503221518</v>
      </c>
      <c r="G476">
        <v>7.5920444855616172</v>
      </c>
      <c r="H476">
        <v>3.2264542913488219</v>
      </c>
      <c r="I476">
        <v>0.25021482259439848</v>
      </c>
      <c r="J476">
        <v>0.78783840000000005</v>
      </c>
      <c r="K476">
        <v>0.38800000000000001</v>
      </c>
      <c r="L476">
        <v>14.8</v>
      </c>
      <c r="M476">
        <v>0.1675134357837478</v>
      </c>
      <c r="N476">
        <v>99</v>
      </c>
      <c r="O476">
        <v>5</v>
      </c>
      <c r="P476">
        <v>36.84046996058683</v>
      </c>
      <c r="Q476">
        <v>46.664010759579632</v>
      </c>
      <c r="R476">
        <v>13.613222624475791</v>
      </c>
      <c r="S476">
        <v>2.7004768462315138</v>
      </c>
      <c r="T476">
        <v>0.18181980912623891</v>
      </c>
      <c r="U476" t="s">
        <v>104</v>
      </c>
      <c r="V476">
        <v>2864.146501098754</v>
      </c>
      <c r="W476">
        <v>37.140723656167097</v>
      </c>
      <c r="X476">
        <v>3.06</v>
      </c>
      <c r="AA476">
        <v>-2.0299999999999998</v>
      </c>
      <c r="AD476">
        <v>760.54</v>
      </c>
      <c r="AF476">
        <v>72.67</v>
      </c>
      <c r="AH476">
        <v>4.3099999999999996</v>
      </c>
      <c r="AI476">
        <v>12.39</v>
      </c>
      <c r="AK476" t="s">
        <v>137</v>
      </c>
      <c r="AL476">
        <f t="shared" si="24"/>
        <v>13.340162090051601</v>
      </c>
      <c r="AM476">
        <f t="shared" si="25"/>
        <v>4.4693785649954951E-2</v>
      </c>
      <c r="AN476">
        <f t="shared" si="26"/>
        <v>5.1861302912038408E-2</v>
      </c>
    </row>
    <row r="477" spans="1:40" x14ac:dyDescent="0.2">
      <c r="A477" t="s">
        <v>104</v>
      </c>
      <c r="B477">
        <v>2016</v>
      </c>
      <c r="C477">
        <v>188.81829418695929</v>
      </c>
      <c r="D477">
        <v>93.948547599176678</v>
      </c>
      <c r="E477">
        <v>7.2389741418068976</v>
      </c>
      <c r="F477">
        <v>3.4648081362494549</v>
      </c>
      <c r="G477">
        <v>6.0840380963904126</v>
      </c>
      <c r="H477">
        <v>3.2241964601210209</v>
      </c>
      <c r="I477">
        <v>0.58434264202619779</v>
      </c>
      <c r="J477">
        <v>0.64887130000000004</v>
      </c>
      <c r="K477">
        <v>0.38700000000000001</v>
      </c>
      <c r="L477">
        <v>15.8</v>
      </c>
      <c r="M477">
        <v>0.19693066325856159</v>
      </c>
      <c r="N477">
        <v>160</v>
      </c>
      <c r="O477">
        <v>5</v>
      </c>
      <c r="P477">
        <v>34.944129629000003</v>
      </c>
      <c r="Q477">
        <v>44.103392424000013</v>
      </c>
      <c r="R477">
        <v>18.051193907999998</v>
      </c>
      <c r="S477">
        <v>2.6992388520000001</v>
      </c>
      <c r="T477">
        <v>0.20204518699999599</v>
      </c>
      <c r="U477" t="s">
        <v>104</v>
      </c>
      <c r="X477">
        <v>1.27</v>
      </c>
      <c r="AA477">
        <v>-3.38</v>
      </c>
      <c r="AD477">
        <v>763.47</v>
      </c>
      <c r="AF477">
        <v>75.05</v>
      </c>
      <c r="AH477">
        <v>3.8</v>
      </c>
      <c r="AI477">
        <v>11.28</v>
      </c>
      <c r="AK477" t="s">
        <v>137</v>
      </c>
      <c r="AL477">
        <f t="shared" si="24"/>
        <v>13.211705093510002</v>
      </c>
      <c r="AM477">
        <f t="shared" si="25"/>
        <v>3.5316391174543091E-2</v>
      </c>
      <c r="AN477">
        <f t="shared" si="26"/>
        <v>3.8338309182261728E-2</v>
      </c>
    </row>
    <row r="478" spans="1:40" x14ac:dyDescent="0.2">
      <c r="A478" t="s">
        <v>105</v>
      </c>
      <c r="B478">
        <v>2022</v>
      </c>
      <c r="C478">
        <v>169.66125721731521</v>
      </c>
      <c r="D478">
        <v>74.999344350997205</v>
      </c>
      <c r="E478">
        <v>11.021804815362341</v>
      </c>
      <c r="F478">
        <v>2.753725811727973</v>
      </c>
      <c r="G478">
        <v>9.2757079973994898</v>
      </c>
      <c r="H478">
        <v>4.1685473440694132</v>
      </c>
      <c r="I478">
        <v>9.6621958306244607E-2</v>
      </c>
      <c r="J478">
        <v>0.66804399999999997</v>
      </c>
      <c r="K478">
        <v>0.33900000000000002</v>
      </c>
      <c r="L478">
        <v>9.4</v>
      </c>
      <c r="M478">
        <v>0.14493224730252191</v>
      </c>
      <c r="N478">
        <v>202</v>
      </c>
      <c r="O478">
        <v>7</v>
      </c>
      <c r="P478">
        <v>25.805115578910641</v>
      </c>
      <c r="Q478">
        <v>50.957786039747091</v>
      </c>
      <c r="R478">
        <v>20.99642471338074</v>
      </c>
      <c r="S478">
        <v>2.1967071169852059</v>
      </c>
      <c r="T478">
        <v>4.3966550976321628E-2</v>
      </c>
      <c r="U478" t="s">
        <v>128</v>
      </c>
      <c r="V478">
        <v>865.4111291723641</v>
      </c>
      <c r="W478">
        <v>31.80316393712749</v>
      </c>
      <c r="AK478" t="s">
        <v>135</v>
      </c>
      <c r="AL478">
        <f t="shared" si="24"/>
        <v>13.004348543043323</v>
      </c>
      <c r="AM478">
        <f t="shared" si="25"/>
        <v>5.5241427002400034E-2</v>
      </c>
      <c r="AN478">
        <f t="shared" si="26"/>
        <v>6.4963592726681049E-2</v>
      </c>
    </row>
    <row r="479" spans="1:40" x14ac:dyDescent="0.2">
      <c r="A479" t="s">
        <v>105</v>
      </c>
      <c r="B479">
        <v>2021</v>
      </c>
      <c r="C479">
        <v>177.61337551126459</v>
      </c>
      <c r="D479">
        <v>75.501086144228168</v>
      </c>
      <c r="E479">
        <v>9.3078944337452008</v>
      </c>
      <c r="F479">
        <v>2.557996887547243</v>
      </c>
      <c r="G479">
        <v>8.4976388751242169</v>
      </c>
      <c r="H479">
        <v>3.7633357350825918</v>
      </c>
      <c r="I479">
        <v>0.1004449039612791</v>
      </c>
      <c r="J479">
        <v>0.59631980000000007</v>
      </c>
      <c r="K479">
        <v>0.34499999999999997</v>
      </c>
      <c r="L479">
        <v>11</v>
      </c>
      <c r="M479">
        <v>0.14688379568279139</v>
      </c>
      <c r="N479">
        <v>200</v>
      </c>
      <c r="O479">
        <v>6</v>
      </c>
      <c r="P479">
        <v>24.975617891339631</v>
      </c>
      <c r="Q479">
        <v>52.909772112528842</v>
      </c>
      <c r="R479">
        <v>21.025682635461632</v>
      </c>
      <c r="S479">
        <v>1.057614643543904</v>
      </c>
      <c r="T479">
        <v>3.1312717126013467E-2</v>
      </c>
      <c r="U479" t="s">
        <v>128</v>
      </c>
      <c r="V479">
        <v>853.99521605028826</v>
      </c>
      <c r="W479">
        <v>29.40343024251424</v>
      </c>
      <c r="AK479" t="s">
        <v>135</v>
      </c>
      <c r="AL479">
        <f t="shared" si="24"/>
        <v>13.033875974834466</v>
      </c>
      <c r="AM479">
        <f t="shared" si="25"/>
        <v>4.8408988086261491E-2</v>
      </c>
      <c r="AN479">
        <f t="shared" si="26"/>
        <v>5.2405368722666247E-2</v>
      </c>
    </row>
    <row r="480" spans="1:40" x14ac:dyDescent="0.2">
      <c r="A480" t="s">
        <v>105</v>
      </c>
      <c r="B480">
        <v>2018</v>
      </c>
      <c r="C480">
        <v>167.16632166678559</v>
      </c>
      <c r="D480">
        <v>82.707442744559984</v>
      </c>
      <c r="E480">
        <v>7.9905144860294879</v>
      </c>
      <c r="F480">
        <v>2.4982750005948282</v>
      </c>
      <c r="G480">
        <v>8.2284454384670891</v>
      </c>
      <c r="H480">
        <v>4.1241365089184452</v>
      </c>
      <c r="I480">
        <v>8.5919510602467594E-2</v>
      </c>
      <c r="J480">
        <v>0.45766109999999999</v>
      </c>
      <c r="K480">
        <v>0.36</v>
      </c>
      <c r="L480">
        <v>12</v>
      </c>
      <c r="M480">
        <v>0.16413496248245921</v>
      </c>
      <c r="N480">
        <v>195</v>
      </c>
      <c r="O480">
        <v>7</v>
      </c>
      <c r="P480">
        <v>25.568931368000001</v>
      </c>
      <c r="Q480">
        <v>50.803373559999997</v>
      </c>
      <c r="R480">
        <v>20.790219168</v>
      </c>
      <c r="S480">
        <v>2.6947853890000002</v>
      </c>
      <c r="T480">
        <v>0.14269051499999821</v>
      </c>
      <c r="U480" t="s">
        <v>128</v>
      </c>
      <c r="V480">
        <v>2515.8062963742968</v>
      </c>
      <c r="W480">
        <v>28.22773872244764</v>
      </c>
      <c r="AK480" t="s">
        <v>135</v>
      </c>
      <c r="AL480">
        <f t="shared" si="24"/>
        <v>12.974940682090001</v>
      </c>
      <c r="AM480">
        <f t="shared" si="25"/>
        <v>4.973708140592259E-2</v>
      </c>
      <c r="AN480">
        <f t="shared" si="26"/>
        <v>4.7799786502194297E-2</v>
      </c>
    </row>
    <row r="481" spans="1:40" x14ac:dyDescent="0.2">
      <c r="A481" t="s">
        <v>105</v>
      </c>
      <c r="B481">
        <v>2019</v>
      </c>
      <c r="C481">
        <v>179.51558654362839</v>
      </c>
      <c r="D481">
        <v>78.931132619959016</v>
      </c>
      <c r="E481">
        <v>8.4052567683214026</v>
      </c>
      <c r="F481">
        <v>2.5341815986572822</v>
      </c>
      <c r="G481">
        <v>7.7352244608230123</v>
      </c>
      <c r="H481">
        <v>4.3784289400884973</v>
      </c>
      <c r="I481">
        <v>0.1393136480937249</v>
      </c>
      <c r="J481">
        <v>0.4895871</v>
      </c>
      <c r="K481">
        <v>0.35499999999999998</v>
      </c>
      <c r="L481">
        <v>12.2</v>
      </c>
      <c r="M481">
        <v>0.15757925173213899</v>
      </c>
      <c r="N481">
        <v>146</v>
      </c>
      <c r="O481">
        <v>7</v>
      </c>
      <c r="P481">
        <v>25.552461517283881</v>
      </c>
      <c r="Q481">
        <v>51.914551693333962</v>
      </c>
      <c r="R481">
        <v>21.391485578874921</v>
      </c>
      <c r="S481">
        <v>1.1262726704661461</v>
      </c>
      <c r="T481">
        <v>1.5228540041093201E-2</v>
      </c>
      <c r="U481" t="s">
        <v>128</v>
      </c>
      <c r="V481">
        <v>2534.8347747338321</v>
      </c>
      <c r="W481">
        <v>28.169218130778269</v>
      </c>
      <c r="AK481" t="s">
        <v>135</v>
      </c>
      <c r="AL481">
        <f t="shared" si="24"/>
        <v>13.036798043345836</v>
      </c>
      <c r="AM481">
        <f t="shared" si="25"/>
        <v>4.3865484109386552E-2</v>
      </c>
      <c r="AN481">
        <f t="shared" si="26"/>
        <v>4.6821877309682187E-2</v>
      </c>
    </row>
    <row r="482" spans="1:40" x14ac:dyDescent="0.2">
      <c r="A482" t="s">
        <v>105</v>
      </c>
      <c r="B482">
        <v>2020</v>
      </c>
      <c r="C482">
        <v>187.0475797075861</v>
      </c>
      <c r="D482">
        <v>77.064269082017788</v>
      </c>
      <c r="E482">
        <v>9.1475094190032369</v>
      </c>
      <c r="F482">
        <v>2.5117341958952801</v>
      </c>
      <c r="G482">
        <v>7.6751135110646214</v>
      </c>
      <c r="H482">
        <v>4.2306398259774616</v>
      </c>
      <c r="I482">
        <v>7.3286674150790598E-2</v>
      </c>
      <c r="J482">
        <v>0.46677970000000002</v>
      </c>
      <c r="K482">
        <v>0.34200000000000003</v>
      </c>
      <c r="L482">
        <v>11.7</v>
      </c>
      <c r="M482">
        <v>0.15130954411433939</v>
      </c>
      <c r="N482">
        <v>196</v>
      </c>
      <c r="O482">
        <v>7</v>
      </c>
      <c r="P482">
        <v>27.503115772000001</v>
      </c>
      <c r="Q482">
        <v>49.408847476000012</v>
      </c>
      <c r="R482">
        <v>21.935163306</v>
      </c>
      <c r="S482">
        <v>1.115515955</v>
      </c>
      <c r="T482">
        <v>3.7357490999994518E-2</v>
      </c>
      <c r="U482" t="s">
        <v>128</v>
      </c>
      <c r="V482">
        <v>2481.8697597151722</v>
      </c>
      <c r="W482">
        <v>29.986653085518721</v>
      </c>
      <c r="AK482" t="s">
        <v>135</v>
      </c>
      <c r="AL482">
        <f t="shared" si="24"/>
        <v>13.063376236930001</v>
      </c>
      <c r="AM482">
        <f t="shared" si="25"/>
        <v>4.1424755120213728E-2</v>
      </c>
      <c r="AN482">
        <f t="shared" si="26"/>
        <v>4.8904719501335743E-2</v>
      </c>
    </row>
    <row r="483" spans="1:40" x14ac:dyDescent="0.2">
      <c r="A483" t="s">
        <v>105</v>
      </c>
      <c r="B483">
        <v>2017</v>
      </c>
      <c r="C483">
        <v>159.36567543014161</v>
      </c>
      <c r="D483">
        <v>81.149716579225313</v>
      </c>
      <c r="E483">
        <v>8.5771209090561484</v>
      </c>
      <c r="F483">
        <v>2.7161981664343831</v>
      </c>
      <c r="G483">
        <v>6.0718895905001631</v>
      </c>
      <c r="H483">
        <v>3.17109543217218</v>
      </c>
      <c r="I483">
        <v>5.2741711969599599E-2</v>
      </c>
      <c r="J483">
        <v>0.39636779999999999</v>
      </c>
      <c r="K483">
        <v>0.36899999999999999</v>
      </c>
      <c r="L483">
        <v>12</v>
      </c>
      <c r="M483">
        <v>0.16959411171445549</v>
      </c>
      <c r="N483">
        <v>208</v>
      </c>
      <c r="O483">
        <v>7</v>
      </c>
      <c r="P483">
        <v>24.877663650999999</v>
      </c>
      <c r="Q483">
        <v>52.288539194000002</v>
      </c>
      <c r="R483">
        <v>19.317967923000001</v>
      </c>
      <c r="S483">
        <v>3.227147386</v>
      </c>
      <c r="T483">
        <v>0.28868184600000291</v>
      </c>
      <c r="U483" t="s">
        <v>128</v>
      </c>
      <c r="V483">
        <v>2481.3860962868471</v>
      </c>
      <c r="W483">
        <v>26.861102787856819</v>
      </c>
      <c r="AK483" t="s">
        <v>135</v>
      </c>
      <c r="AL483">
        <f t="shared" si="24"/>
        <v>12.956126652979997</v>
      </c>
      <c r="AM483">
        <f t="shared" si="25"/>
        <v>3.8431307657303612E-2</v>
      </c>
      <c r="AN483">
        <f t="shared" si="26"/>
        <v>5.3820378107806245E-2</v>
      </c>
    </row>
    <row r="484" spans="1:40" x14ac:dyDescent="0.2">
      <c r="A484" t="s">
        <v>105</v>
      </c>
      <c r="B484">
        <v>2016</v>
      </c>
      <c r="C484">
        <v>172.81585906335769</v>
      </c>
      <c r="D484">
        <v>90.827359468060138</v>
      </c>
      <c r="E484">
        <v>8.4631588938308582</v>
      </c>
      <c r="F484">
        <v>3.3219876031859439</v>
      </c>
      <c r="G484">
        <v>5.7080183816647372</v>
      </c>
      <c r="H484">
        <v>4.126119523004764</v>
      </c>
      <c r="I484">
        <v>0.23069358355457939</v>
      </c>
      <c r="J484">
        <v>0.38043080000000001</v>
      </c>
      <c r="K484">
        <v>0.374</v>
      </c>
      <c r="L484">
        <v>12.3</v>
      </c>
      <c r="M484">
        <v>0.18198797785879009</v>
      </c>
      <c r="N484">
        <v>218</v>
      </c>
      <c r="O484">
        <v>7</v>
      </c>
      <c r="P484">
        <v>24.633630903</v>
      </c>
      <c r="Q484">
        <v>49.957624119999998</v>
      </c>
      <c r="R484">
        <v>22.015377771000001</v>
      </c>
      <c r="S484">
        <v>3.1885229320000001</v>
      </c>
      <c r="T484">
        <v>0.20484427399999561</v>
      </c>
      <c r="U484" t="s">
        <v>128</v>
      </c>
      <c r="AK484" t="s">
        <v>135</v>
      </c>
      <c r="AL484">
        <f t="shared" si="24"/>
        <v>12.906388160699999</v>
      </c>
      <c r="AM484">
        <f t="shared" si="25"/>
        <v>3.4364392234638996E-2</v>
      </c>
      <c r="AN484">
        <f t="shared" si="26"/>
        <v>4.8972119455356802E-2</v>
      </c>
    </row>
    <row r="485" spans="1:40" x14ac:dyDescent="0.2">
      <c r="A485" t="s">
        <v>106</v>
      </c>
      <c r="B485">
        <v>2021</v>
      </c>
      <c r="C485">
        <v>100.76178734797701</v>
      </c>
      <c r="D485">
        <v>50.298813364972553</v>
      </c>
      <c r="E485">
        <v>6.2298954543104061</v>
      </c>
      <c r="F485">
        <v>2.2572084979385529</v>
      </c>
      <c r="G485">
        <v>7.2476912861081537</v>
      </c>
      <c r="H485">
        <v>3.1847159898187578</v>
      </c>
      <c r="I485">
        <v>0.46785776139090007</v>
      </c>
      <c r="J485">
        <v>0.4239697</v>
      </c>
      <c r="K485">
        <v>0.35499999999999998</v>
      </c>
      <c r="L485">
        <v>13.8</v>
      </c>
      <c r="M485">
        <v>0.14121801918827989</v>
      </c>
      <c r="N485">
        <v>121</v>
      </c>
      <c r="O485">
        <v>5</v>
      </c>
      <c r="P485">
        <v>30.895125996919141</v>
      </c>
      <c r="Q485">
        <v>40.054924076615563</v>
      </c>
      <c r="R485">
        <v>24.649442829385109</v>
      </c>
      <c r="S485">
        <v>4.3429023709960868</v>
      </c>
      <c r="T485">
        <v>5.7604726084093727E-2</v>
      </c>
      <c r="U485" t="s">
        <v>106</v>
      </c>
      <c r="V485">
        <v>944.80928939647129</v>
      </c>
      <c r="W485">
        <v>38.322506448308289</v>
      </c>
      <c r="AK485" t="s">
        <v>135</v>
      </c>
      <c r="AL485">
        <f t="shared" si="24"/>
        <v>12.94601314316327</v>
      </c>
      <c r="AM485">
        <f t="shared" si="25"/>
        <v>7.6572173346366901E-2</v>
      </c>
      <c r="AN485">
        <f t="shared" si="26"/>
        <v>6.1827956989247312E-2</v>
      </c>
    </row>
    <row r="486" spans="1:40" x14ac:dyDescent="0.2">
      <c r="A486" t="s">
        <v>106</v>
      </c>
      <c r="B486">
        <v>2018</v>
      </c>
      <c r="C486">
        <v>105.68594388978821</v>
      </c>
      <c r="D486">
        <v>54.716039717058472</v>
      </c>
      <c r="E486">
        <v>4.6365446351649018</v>
      </c>
      <c r="F486">
        <v>2.109708026035241</v>
      </c>
      <c r="G486">
        <v>6.6259271083844444</v>
      </c>
      <c r="H486">
        <v>2.727379197155825</v>
      </c>
      <c r="I486">
        <v>6.4173628168372299E-2</v>
      </c>
      <c r="J486">
        <v>0.31334889999999999</v>
      </c>
      <c r="K486">
        <v>0.35799999999999998</v>
      </c>
      <c r="L486">
        <v>15.3</v>
      </c>
      <c r="M486">
        <v>0.16362829036333759</v>
      </c>
      <c r="N486">
        <v>129</v>
      </c>
      <c r="O486">
        <v>5</v>
      </c>
      <c r="P486">
        <v>30.389468688000001</v>
      </c>
      <c r="Q486">
        <v>43.050135005000001</v>
      </c>
      <c r="R486">
        <v>23.382938951</v>
      </c>
      <c r="S486">
        <v>3.0818294160000002</v>
      </c>
      <c r="T486">
        <v>9.5627939999985756E-2</v>
      </c>
      <c r="U486" t="s">
        <v>106</v>
      </c>
      <c r="V486">
        <v>2436.263119210596</v>
      </c>
      <c r="W486">
        <v>35.609509695122163</v>
      </c>
      <c r="AK486" t="s">
        <v>135</v>
      </c>
      <c r="AL486">
        <f t="shared" si="24"/>
        <v>13.008250903499997</v>
      </c>
      <c r="AM486">
        <f t="shared" si="25"/>
        <v>6.3301707779886154E-2</v>
      </c>
      <c r="AN486">
        <f t="shared" si="26"/>
        <v>4.3870967741935482E-2</v>
      </c>
    </row>
    <row r="487" spans="1:40" x14ac:dyDescent="0.2">
      <c r="A487" t="s">
        <v>106</v>
      </c>
      <c r="B487">
        <v>2022</v>
      </c>
      <c r="C487">
        <v>102.03405163045529</v>
      </c>
      <c r="D487">
        <v>49.812824284758833</v>
      </c>
      <c r="E487">
        <v>7.317517314068346</v>
      </c>
      <c r="F487">
        <v>2.5762360268566309</v>
      </c>
      <c r="G487">
        <v>6.486744132769303</v>
      </c>
      <c r="H487">
        <v>3.4657507462273252</v>
      </c>
      <c r="I487">
        <v>0.46154065627724661</v>
      </c>
      <c r="J487">
        <v>0.49633959999999999</v>
      </c>
      <c r="K487">
        <v>0.34799999999999998</v>
      </c>
      <c r="L487">
        <v>12.4</v>
      </c>
      <c r="M487">
        <v>0.13640540388583661</v>
      </c>
      <c r="N487">
        <v>117</v>
      </c>
      <c r="O487">
        <v>5</v>
      </c>
      <c r="P487">
        <v>28.942702154735141</v>
      </c>
      <c r="Q487">
        <v>42.056686840486883</v>
      </c>
      <c r="R487">
        <v>23.723239644132239</v>
      </c>
      <c r="S487">
        <v>5.1445797312918309</v>
      </c>
      <c r="T487">
        <v>0.1327916293539175</v>
      </c>
      <c r="U487" t="s">
        <v>106</v>
      </c>
      <c r="V487">
        <v>962.57047179976882</v>
      </c>
      <c r="W487">
        <v>36.222314308878147</v>
      </c>
      <c r="AK487" t="s">
        <v>135</v>
      </c>
      <c r="AL487">
        <f t="shared" si="24"/>
        <v>12.886654814318533</v>
      </c>
      <c r="AM487">
        <f t="shared" si="25"/>
        <v>6.8097705403404901E-2</v>
      </c>
      <c r="AN487">
        <f t="shared" si="26"/>
        <v>7.1716424048030261E-2</v>
      </c>
    </row>
    <row r="488" spans="1:40" x14ac:dyDescent="0.2">
      <c r="A488" t="s">
        <v>106</v>
      </c>
      <c r="B488">
        <v>2019</v>
      </c>
      <c r="C488">
        <v>102.251585896823</v>
      </c>
      <c r="D488">
        <v>54.456660766656768</v>
      </c>
      <c r="E488">
        <v>5.0548442526582349</v>
      </c>
      <c r="F488">
        <v>2.398224829136574</v>
      </c>
      <c r="G488">
        <v>6.2660689138383221</v>
      </c>
      <c r="H488">
        <v>2.3820751669875069</v>
      </c>
      <c r="I488">
        <v>6.4598648596271305E-2</v>
      </c>
      <c r="J488">
        <v>0.34707120000000002</v>
      </c>
      <c r="K488">
        <v>0.35599999999999998</v>
      </c>
      <c r="L488">
        <v>15.5</v>
      </c>
      <c r="M488">
        <v>0.1547672695267952</v>
      </c>
      <c r="N488">
        <v>102</v>
      </c>
      <c r="O488">
        <v>5</v>
      </c>
      <c r="P488">
        <v>29.323463705877831</v>
      </c>
      <c r="Q488">
        <v>41.265623133371612</v>
      </c>
      <c r="R488">
        <v>26.27051017672186</v>
      </c>
      <c r="S488">
        <v>3.0382723720140938</v>
      </c>
      <c r="T488">
        <v>0.1021306120146193</v>
      </c>
      <c r="U488" t="s">
        <v>106</v>
      </c>
      <c r="V488">
        <v>2466.4558227886482</v>
      </c>
      <c r="W488">
        <v>37.00318726344647</v>
      </c>
      <c r="AK488" t="s">
        <v>135</v>
      </c>
      <c r="AL488">
        <f t="shared" si="24"/>
        <v>12.93033642062124</v>
      </c>
      <c r="AM488">
        <f t="shared" si="25"/>
        <v>6.1912658927584317E-2</v>
      </c>
      <c r="AN488">
        <f t="shared" si="26"/>
        <v>4.9435362868198711E-2</v>
      </c>
    </row>
    <row r="489" spans="1:40" x14ac:dyDescent="0.2">
      <c r="A489" t="s">
        <v>106</v>
      </c>
      <c r="B489">
        <v>2017</v>
      </c>
      <c r="C489">
        <v>108.4375526284493</v>
      </c>
      <c r="D489">
        <v>53.572269486394227</v>
      </c>
      <c r="E489">
        <v>4.6532528472240511</v>
      </c>
      <c r="F489">
        <v>2.1789674567618631</v>
      </c>
      <c r="G489">
        <v>5.8983771082308296</v>
      </c>
      <c r="H489">
        <v>2.6658429690786161</v>
      </c>
      <c r="I489">
        <v>3.1926263102737898E-2</v>
      </c>
      <c r="J489">
        <v>0.30170999999999998</v>
      </c>
      <c r="K489">
        <v>0.36399999999999999</v>
      </c>
      <c r="L489">
        <v>14.9</v>
      </c>
      <c r="M489">
        <v>0.17202018564501451</v>
      </c>
      <c r="N489">
        <v>139</v>
      </c>
      <c r="O489">
        <v>5</v>
      </c>
      <c r="P489">
        <v>27.994757838000002</v>
      </c>
      <c r="Q489">
        <v>44.258602688000003</v>
      </c>
      <c r="R489">
        <v>23.821475963000001</v>
      </c>
      <c r="S489">
        <v>3.76233365</v>
      </c>
      <c r="T489">
        <v>0.16282986099999161</v>
      </c>
      <c r="U489" t="s">
        <v>106</v>
      </c>
      <c r="V489">
        <v>2521.2900052764981</v>
      </c>
      <c r="W489">
        <v>36.910151581400349</v>
      </c>
      <c r="AK489" t="s">
        <v>135</v>
      </c>
      <c r="AL489">
        <f t="shared" si="24"/>
        <v>12.918317604010001</v>
      </c>
      <c r="AM489">
        <f t="shared" si="25"/>
        <v>5.4688650080965719E-2</v>
      </c>
      <c r="AN489">
        <f t="shared" si="26"/>
        <v>4.2911820992197862E-2</v>
      </c>
    </row>
    <row r="490" spans="1:40" x14ac:dyDescent="0.2">
      <c r="A490" t="s">
        <v>106</v>
      </c>
      <c r="B490">
        <v>2020</v>
      </c>
      <c r="C490">
        <v>103.46195878434639</v>
      </c>
      <c r="D490">
        <v>52.731122502081597</v>
      </c>
      <c r="E490">
        <v>6.3830271648626153</v>
      </c>
      <c r="F490">
        <v>2.2848797876769358</v>
      </c>
      <c r="G490">
        <v>5.4804589925062457</v>
      </c>
      <c r="H490">
        <v>2.447504683597002</v>
      </c>
      <c r="I490">
        <v>0.13823116153205661</v>
      </c>
      <c r="J490">
        <v>0.36177219999999999</v>
      </c>
      <c r="K490">
        <v>0.35199999999999998</v>
      </c>
      <c r="L490">
        <v>15</v>
      </c>
      <c r="M490">
        <v>0.14703470916094241</v>
      </c>
      <c r="N490">
        <v>121</v>
      </c>
      <c r="O490">
        <v>5</v>
      </c>
      <c r="P490">
        <v>27.534086160000001</v>
      </c>
      <c r="Q490">
        <v>42.825320134000002</v>
      </c>
      <c r="R490">
        <v>26.679291112000001</v>
      </c>
      <c r="S490">
        <v>2.8546475290000002</v>
      </c>
      <c r="T490">
        <v>0.1066550649999982</v>
      </c>
      <c r="U490" t="s">
        <v>106</v>
      </c>
      <c r="V490">
        <v>2503.641882975774</v>
      </c>
      <c r="W490">
        <v>36.515632743969562</v>
      </c>
      <c r="AK490" t="s">
        <v>135</v>
      </c>
      <c r="AL490">
        <f t="shared" si="24"/>
        <v>12.89331104395</v>
      </c>
      <c r="AM490">
        <f t="shared" si="25"/>
        <v>5.4306821754165353E-2</v>
      </c>
      <c r="AN490">
        <f t="shared" si="26"/>
        <v>6.1694435712040238E-2</v>
      </c>
    </row>
    <row r="491" spans="1:40" x14ac:dyDescent="0.2">
      <c r="A491" t="s">
        <v>106</v>
      </c>
      <c r="B491">
        <v>2016</v>
      </c>
      <c r="C491">
        <v>121.8252557805571</v>
      </c>
      <c r="D491">
        <v>54.292986519786169</v>
      </c>
      <c r="E491">
        <v>5.6376285065214402</v>
      </c>
      <c r="F491">
        <v>2.552438294207874</v>
      </c>
      <c r="G491">
        <v>5.2877615752281493</v>
      </c>
      <c r="H491">
        <v>1.987880291439154</v>
      </c>
      <c r="I491">
        <v>0.19083650797815871</v>
      </c>
      <c r="J491">
        <v>0.2938094</v>
      </c>
      <c r="K491">
        <v>0.36799999999999999</v>
      </c>
      <c r="L491">
        <v>14.7</v>
      </c>
      <c r="M491">
        <v>0.17999081377933099</v>
      </c>
      <c r="N491">
        <v>137</v>
      </c>
      <c r="O491">
        <v>5</v>
      </c>
      <c r="P491">
        <v>28.245229766000001</v>
      </c>
      <c r="Q491">
        <v>44.525112956999997</v>
      </c>
      <c r="R491">
        <v>23.560672414999999</v>
      </c>
      <c r="S491">
        <v>3.6384824679999999</v>
      </c>
      <c r="T491">
        <v>3.0502393999995551E-2</v>
      </c>
      <c r="U491" t="s">
        <v>106</v>
      </c>
      <c r="AK491" t="s">
        <v>135</v>
      </c>
      <c r="AL491">
        <f t="shared" si="24"/>
        <v>12.945406632839999</v>
      </c>
      <c r="AM491">
        <f t="shared" si="25"/>
        <v>4.4970954898505326E-2</v>
      </c>
      <c r="AN491">
        <f t="shared" si="26"/>
        <v>4.6276352718490961E-2</v>
      </c>
    </row>
    <row r="492" spans="1:40" x14ac:dyDescent="0.2">
      <c r="A492" t="s">
        <v>107</v>
      </c>
      <c r="B492">
        <v>2016</v>
      </c>
      <c r="C492">
        <v>202.37502922328991</v>
      </c>
      <c r="D492">
        <v>98.212733561524757</v>
      </c>
      <c r="E492">
        <v>9.9808774779851195</v>
      </c>
      <c r="F492">
        <v>4.9230003776548239</v>
      </c>
      <c r="G492">
        <v>6.2792607556693181</v>
      </c>
      <c r="H492">
        <v>3.8889455038095182</v>
      </c>
      <c r="I492">
        <v>0.27724659661069778</v>
      </c>
      <c r="J492">
        <v>0.50575329999999996</v>
      </c>
      <c r="K492">
        <v>0.38200000000000001</v>
      </c>
      <c r="L492">
        <v>13</v>
      </c>
      <c r="M492">
        <v>0.20677169933378459</v>
      </c>
      <c r="N492">
        <v>148</v>
      </c>
      <c r="O492">
        <v>10</v>
      </c>
      <c r="P492">
        <v>35.605596515999999</v>
      </c>
      <c r="Q492">
        <v>43.192937614999998</v>
      </c>
      <c r="R492">
        <v>16.992515499</v>
      </c>
      <c r="S492">
        <v>3.9625832870000002</v>
      </c>
      <c r="T492">
        <v>0.24636708299999549</v>
      </c>
      <c r="U492" t="s">
        <v>107</v>
      </c>
      <c r="X492">
        <v>0.86</v>
      </c>
      <c r="AA492">
        <v>-4.79</v>
      </c>
      <c r="AD492">
        <v>759.9</v>
      </c>
      <c r="AF492">
        <v>68.95</v>
      </c>
      <c r="AH492">
        <v>4.42</v>
      </c>
      <c r="AI492">
        <v>15.04</v>
      </c>
      <c r="AK492" t="s">
        <v>133</v>
      </c>
      <c r="AL492">
        <f t="shared" si="24"/>
        <v>13.191585251389997</v>
      </c>
      <c r="AM492">
        <f t="shared" si="25"/>
        <v>3.2397808056872035E-2</v>
      </c>
      <c r="AN492">
        <f t="shared" si="26"/>
        <v>4.9318720379146912E-2</v>
      </c>
    </row>
    <row r="493" spans="1:40" x14ac:dyDescent="0.2">
      <c r="A493" t="s">
        <v>107</v>
      </c>
      <c r="B493">
        <v>2017</v>
      </c>
      <c r="C493">
        <v>180.17781524554979</v>
      </c>
      <c r="D493">
        <v>89.792648883142064</v>
      </c>
      <c r="E493">
        <v>7.5377223628097028</v>
      </c>
      <c r="F493">
        <v>4.3501283287856989</v>
      </c>
      <c r="G493">
        <v>6.1426812090956684</v>
      </c>
      <c r="H493">
        <v>3.382599786693707</v>
      </c>
      <c r="I493">
        <v>0.34501017780024512</v>
      </c>
      <c r="J493">
        <v>0.52622089999999999</v>
      </c>
      <c r="K493">
        <v>0.38200000000000001</v>
      </c>
      <c r="L493">
        <v>12.5</v>
      </c>
      <c r="M493">
        <v>0.19609911495369359</v>
      </c>
      <c r="N493">
        <v>143</v>
      </c>
      <c r="O493">
        <v>10</v>
      </c>
      <c r="P493">
        <v>34.150047346000001</v>
      </c>
      <c r="Q493">
        <v>41.964040128999997</v>
      </c>
      <c r="R493">
        <v>19.010321728000001</v>
      </c>
      <c r="S493">
        <v>4.6567711169999999</v>
      </c>
      <c r="T493">
        <v>0.21881967999999569</v>
      </c>
      <c r="U493" t="s">
        <v>107</v>
      </c>
      <c r="V493">
        <v>2146.460840019744</v>
      </c>
      <c r="W493">
        <v>27.08696704177834</v>
      </c>
      <c r="X493">
        <v>2.73</v>
      </c>
      <c r="AA493">
        <v>-2.97</v>
      </c>
      <c r="AD493">
        <v>758.06</v>
      </c>
      <c r="AF493">
        <v>69.459999999999994</v>
      </c>
      <c r="AH493">
        <v>3.78</v>
      </c>
      <c r="AI493">
        <v>13.95</v>
      </c>
      <c r="AK493" t="s">
        <v>133</v>
      </c>
      <c r="AL493">
        <f t="shared" si="24"/>
        <v>13.096829896480001</v>
      </c>
      <c r="AM493">
        <f t="shared" si="25"/>
        <v>3.6007159805186685E-2</v>
      </c>
      <c r="AN493">
        <f t="shared" si="26"/>
        <v>4.1834908212962568E-2</v>
      </c>
    </row>
    <row r="494" spans="1:40" x14ac:dyDescent="0.2">
      <c r="A494" t="s">
        <v>107</v>
      </c>
      <c r="B494">
        <v>2021</v>
      </c>
      <c r="C494">
        <v>168.98427286498551</v>
      </c>
      <c r="D494">
        <v>80.107476057294946</v>
      </c>
      <c r="E494">
        <v>7.9700136881334407</v>
      </c>
      <c r="F494">
        <v>3.85050805955145</v>
      </c>
      <c r="G494">
        <v>5.871832649695226</v>
      </c>
      <c r="H494">
        <v>3.973478376822555</v>
      </c>
      <c r="I494">
        <v>0.24594063454220841</v>
      </c>
      <c r="J494">
        <v>0.78659089999999998</v>
      </c>
      <c r="K494">
        <v>0.36599999999999999</v>
      </c>
      <c r="L494">
        <v>12</v>
      </c>
      <c r="M494">
        <v>0.16064242143463819</v>
      </c>
      <c r="N494">
        <v>145</v>
      </c>
      <c r="O494">
        <v>8</v>
      </c>
      <c r="P494">
        <v>30.437837290328009</v>
      </c>
      <c r="Q494">
        <v>44.347485244515617</v>
      </c>
      <c r="R494">
        <v>19.138249098571489</v>
      </c>
      <c r="S494">
        <v>5.9157531780213146</v>
      </c>
      <c r="T494">
        <v>0.16067518856355889</v>
      </c>
      <c r="U494" t="s">
        <v>107</v>
      </c>
      <c r="V494">
        <v>770.21039873405937</v>
      </c>
      <c r="W494">
        <v>27.80031873704694</v>
      </c>
      <c r="X494">
        <v>3.53</v>
      </c>
      <c r="AA494">
        <v>-2.64</v>
      </c>
      <c r="AD494">
        <v>759.17</v>
      </c>
      <c r="AF494">
        <v>67.52</v>
      </c>
      <c r="AH494">
        <v>3.97</v>
      </c>
      <c r="AI494">
        <v>14.98</v>
      </c>
      <c r="AK494" t="s">
        <v>133</v>
      </c>
      <c r="AL494">
        <f t="shared" si="24"/>
        <v>12.974900869743557</v>
      </c>
      <c r="AM494">
        <f t="shared" si="25"/>
        <v>3.6203210988311273E-2</v>
      </c>
      <c r="AN494">
        <f t="shared" si="26"/>
        <v>4.7164233410651742E-2</v>
      </c>
    </row>
    <row r="495" spans="1:40" x14ac:dyDescent="0.2">
      <c r="A495" t="s">
        <v>107</v>
      </c>
      <c r="B495">
        <v>2018</v>
      </c>
      <c r="C495">
        <v>169.45694578491941</v>
      </c>
      <c r="D495">
        <v>84.830106406525019</v>
      </c>
      <c r="E495">
        <v>7.3251414211527202</v>
      </c>
      <c r="F495">
        <v>3.545880379612468</v>
      </c>
      <c r="G495">
        <v>5.3451699989911932</v>
      </c>
      <c r="H495">
        <v>3.5232951542646171</v>
      </c>
      <c r="I495">
        <v>0.2484374788263512</v>
      </c>
      <c r="J495">
        <v>0.57690209999999997</v>
      </c>
      <c r="K495">
        <v>0.38700000000000001</v>
      </c>
      <c r="L495">
        <v>12.2</v>
      </c>
      <c r="M495">
        <v>0.1853104877490441</v>
      </c>
      <c r="N495">
        <v>144</v>
      </c>
      <c r="O495">
        <v>10</v>
      </c>
      <c r="P495">
        <v>36.410913721999997</v>
      </c>
      <c r="Q495">
        <v>42.433698923999998</v>
      </c>
      <c r="R495">
        <v>16.610176984999999</v>
      </c>
      <c r="S495">
        <v>4.2460273839999996</v>
      </c>
      <c r="T495">
        <v>0.29918298500000162</v>
      </c>
      <c r="U495" t="s">
        <v>107</v>
      </c>
      <c r="V495">
        <v>2182.8505430439882</v>
      </c>
      <c r="W495">
        <v>26.812096460864801</v>
      </c>
      <c r="X495">
        <v>3.14</v>
      </c>
      <c r="AA495">
        <v>-3.07</v>
      </c>
      <c r="AD495">
        <v>758.95</v>
      </c>
      <c r="AF495">
        <v>67.52</v>
      </c>
      <c r="AH495">
        <v>4.09</v>
      </c>
      <c r="AI495">
        <v>14.93</v>
      </c>
      <c r="AK495" t="s">
        <v>133</v>
      </c>
      <c r="AL495">
        <f t="shared" si="24"/>
        <v>13.199247170730001</v>
      </c>
      <c r="AM495">
        <f t="shared" si="25"/>
        <v>3.3009018614776307E-2</v>
      </c>
      <c r="AN495">
        <f t="shared" si="26"/>
        <v>4.3227153583011234E-2</v>
      </c>
    </row>
    <row r="496" spans="1:40" x14ac:dyDescent="0.2">
      <c r="A496" t="s">
        <v>107</v>
      </c>
      <c r="B496">
        <v>2019</v>
      </c>
      <c r="C496">
        <v>181.16147662494811</v>
      </c>
      <c r="D496">
        <v>82.937752038823348</v>
      </c>
      <c r="E496">
        <v>6.4095142314674609</v>
      </c>
      <c r="F496">
        <v>3.3750216614338702</v>
      </c>
      <c r="G496">
        <v>4.9944266738707483</v>
      </c>
      <c r="H496">
        <v>3.1555695803092458</v>
      </c>
      <c r="I496">
        <v>0.39350028339587712</v>
      </c>
      <c r="J496">
        <v>0.61300619999999995</v>
      </c>
      <c r="K496">
        <v>0.38300000000000001</v>
      </c>
      <c r="L496">
        <v>12.2</v>
      </c>
      <c r="M496">
        <v>0.17573468037710541</v>
      </c>
      <c r="N496">
        <v>103</v>
      </c>
      <c r="O496">
        <v>9</v>
      </c>
      <c r="P496">
        <v>33.958625508678281</v>
      </c>
      <c r="Q496">
        <v>43.274439969207577</v>
      </c>
      <c r="R496">
        <v>17.603172506443329</v>
      </c>
      <c r="S496">
        <v>4.9612214714574634</v>
      </c>
      <c r="T496">
        <v>0.20254054421334899</v>
      </c>
      <c r="U496" t="s">
        <v>107</v>
      </c>
      <c r="V496">
        <v>2189.6133751688458</v>
      </c>
      <c r="W496">
        <v>25.79178617058588</v>
      </c>
      <c r="X496">
        <v>3.59</v>
      </c>
      <c r="AA496">
        <v>-3.39</v>
      </c>
      <c r="AD496">
        <v>758.25</v>
      </c>
      <c r="AF496">
        <v>64.209999999999994</v>
      </c>
      <c r="AH496">
        <v>4.28</v>
      </c>
      <c r="AI496">
        <v>14.39</v>
      </c>
      <c r="AK496" t="s">
        <v>133</v>
      </c>
      <c r="AL496">
        <f t="shared" si="24"/>
        <v>13.110431552207201</v>
      </c>
      <c r="AM496">
        <f t="shared" si="25"/>
        <v>2.9741019214703415E-2</v>
      </c>
      <c r="AN496">
        <f t="shared" si="26"/>
        <v>3.5380116959064317E-2</v>
      </c>
    </row>
    <row r="497" spans="1:40" x14ac:dyDescent="0.2">
      <c r="A497" t="s">
        <v>107</v>
      </c>
      <c r="B497">
        <v>2020</v>
      </c>
      <c r="C497">
        <v>172.5012028338995</v>
      </c>
      <c r="D497">
        <v>81.017418859067391</v>
      </c>
      <c r="E497">
        <v>7.2512072043859916</v>
      </c>
      <c r="F497">
        <v>4.0816543697644434</v>
      </c>
      <c r="G497">
        <v>4.7657305211216112</v>
      </c>
      <c r="H497">
        <v>3.1391494501167871</v>
      </c>
      <c r="I497">
        <v>0.3040338450476307</v>
      </c>
      <c r="J497">
        <v>0.65775499999999998</v>
      </c>
      <c r="K497">
        <v>0.36499999999999999</v>
      </c>
      <c r="L497">
        <v>12</v>
      </c>
      <c r="M497">
        <v>0.1681383041638527</v>
      </c>
      <c r="N497">
        <v>145</v>
      </c>
      <c r="O497">
        <v>8</v>
      </c>
      <c r="P497">
        <v>35.475993531</v>
      </c>
      <c r="Q497">
        <v>43.992208011999999</v>
      </c>
      <c r="R497">
        <v>16.101926343999999</v>
      </c>
      <c r="S497">
        <v>4.2654244090000004</v>
      </c>
      <c r="T497">
        <v>0.16444770400001121</v>
      </c>
      <c r="U497" t="s">
        <v>107</v>
      </c>
      <c r="V497">
        <v>2146.4329565203461</v>
      </c>
      <c r="W497">
        <v>28.843827566715909</v>
      </c>
      <c r="X497">
        <v>3.93</v>
      </c>
      <c r="AA497">
        <v>-2.84</v>
      </c>
      <c r="AD497">
        <v>759.24</v>
      </c>
      <c r="AF497">
        <v>64.55</v>
      </c>
      <c r="AH497">
        <v>4.32</v>
      </c>
      <c r="AI497">
        <v>14.76</v>
      </c>
      <c r="AK497" t="s">
        <v>133</v>
      </c>
      <c r="AL497">
        <f t="shared" si="24"/>
        <v>13.202064074020003</v>
      </c>
      <c r="AM497">
        <f t="shared" si="25"/>
        <v>2.9389733421458467E-2</v>
      </c>
      <c r="AN497">
        <f t="shared" si="26"/>
        <v>4.203569068076668E-2</v>
      </c>
    </row>
    <row r="498" spans="1:40" x14ac:dyDescent="0.2">
      <c r="A498" t="s">
        <v>107</v>
      </c>
      <c r="B498">
        <v>2022</v>
      </c>
      <c r="C498">
        <v>164.856075818943</v>
      </c>
      <c r="D498">
        <v>71.474762601681363</v>
      </c>
      <c r="E498">
        <v>7.7817761014384681</v>
      </c>
      <c r="F498">
        <v>3.7825929558682021</v>
      </c>
      <c r="G498">
        <v>4.5174525280716358</v>
      </c>
      <c r="H498">
        <v>3.3184711207923492</v>
      </c>
      <c r="I498">
        <v>0.31714992063516612</v>
      </c>
      <c r="J498">
        <v>0.82882580000000006</v>
      </c>
      <c r="K498">
        <v>0.36099999999999999</v>
      </c>
      <c r="L498">
        <v>9.8000000000000007</v>
      </c>
      <c r="M498">
        <v>0.1562032977403455</v>
      </c>
      <c r="N498">
        <v>141</v>
      </c>
      <c r="O498">
        <v>8</v>
      </c>
      <c r="P498">
        <v>33.863976469838178</v>
      </c>
      <c r="Q498">
        <v>41.114824069431648</v>
      </c>
      <c r="R498">
        <v>20.410639767825671</v>
      </c>
      <c r="S498">
        <v>4.5753937868507792</v>
      </c>
      <c r="T498">
        <v>3.5165906053720157E-2</v>
      </c>
      <c r="U498" t="s">
        <v>107</v>
      </c>
      <c r="V498">
        <v>779.12729777184882</v>
      </c>
      <c r="W498">
        <v>27.28199788000844</v>
      </c>
      <c r="X498">
        <v>2.93</v>
      </c>
      <c r="AA498">
        <v>-2.54</v>
      </c>
      <c r="AD498">
        <v>758.54</v>
      </c>
      <c r="AF498">
        <v>70.25</v>
      </c>
      <c r="AH498">
        <v>4.1399999999999997</v>
      </c>
      <c r="AI498">
        <v>14.52</v>
      </c>
      <c r="AK498" t="s">
        <v>133</v>
      </c>
      <c r="AL498">
        <f t="shared" si="24"/>
        <v>13.082886051021383</v>
      </c>
      <c r="AM498">
        <f t="shared" si="25"/>
        <v>2.9326201201201198E-2</v>
      </c>
      <c r="AN498">
        <f t="shared" si="26"/>
        <v>4.7203453453453448E-2</v>
      </c>
    </row>
    <row r="499" spans="1:40" x14ac:dyDescent="0.2">
      <c r="A499" t="s">
        <v>108</v>
      </c>
      <c r="B499">
        <v>2016</v>
      </c>
      <c r="C499">
        <v>205.8940238197701</v>
      </c>
      <c r="D499">
        <v>129.56866953189481</v>
      </c>
      <c r="E499">
        <v>7.1537554421635638</v>
      </c>
      <c r="F499">
        <v>4.5083562942801629</v>
      </c>
      <c r="G499">
        <v>6.6693865841004074</v>
      </c>
      <c r="H499">
        <v>3.222915863266397</v>
      </c>
      <c r="I499">
        <v>0.1304070002477733</v>
      </c>
      <c r="J499">
        <v>0.38505719999999999</v>
      </c>
      <c r="K499">
        <v>0.34899999999999998</v>
      </c>
      <c r="L499">
        <v>19.100000000000001</v>
      </c>
      <c r="M499">
        <v>0.179479423379554</v>
      </c>
      <c r="N499">
        <v>59</v>
      </c>
      <c r="O499">
        <v>1</v>
      </c>
      <c r="P499">
        <v>27.549945755</v>
      </c>
      <c r="Q499">
        <v>39.981506277999998</v>
      </c>
      <c r="R499">
        <v>25.602879590000001</v>
      </c>
      <c r="S499">
        <v>6.5891687990000003</v>
      </c>
      <c r="T499">
        <v>0.27649957799999919</v>
      </c>
      <c r="U499" t="s">
        <v>129</v>
      </c>
      <c r="X499">
        <v>0.9</v>
      </c>
      <c r="Y499">
        <v>-3.76</v>
      </c>
      <c r="Z499">
        <v>5.68</v>
      </c>
      <c r="AA499">
        <v>-2.83</v>
      </c>
      <c r="AB499">
        <v>9.83</v>
      </c>
      <c r="AC499">
        <v>743.15</v>
      </c>
      <c r="AD499">
        <v>767.16</v>
      </c>
      <c r="AE499">
        <v>-0.03</v>
      </c>
      <c r="AF499">
        <v>78.709999999999994</v>
      </c>
      <c r="AG499">
        <v>12</v>
      </c>
      <c r="AH499">
        <v>1.9</v>
      </c>
      <c r="AJ499">
        <v>11.89</v>
      </c>
      <c r="AK499" t="s">
        <v>132</v>
      </c>
      <c r="AL499">
        <f t="shared" si="24"/>
        <v>12.750489609320001</v>
      </c>
      <c r="AM499">
        <f t="shared" si="25"/>
        <v>3.3025696706478466E-2</v>
      </c>
      <c r="AN499">
        <f t="shared" si="26"/>
        <v>3.4744842562432134E-2</v>
      </c>
    </row>
    <row r="500" spans="1:40" x14ac:dyDescent="0.2">
      <c r="A500" t="s">
        <v>108</v>
      </c>
      <c r="B500">
        <v>2021</v>
      </c>
      <c r="C500">
        <v>207.204023787864</v>
      </c>
      <c r="D500">
        <v>103.0193445556316</v>
      </c>
      <c r="E500">
        <v>9.0031501627709396</v>
      </c>
      <c r="F500">
        <v>4.135058529873918</v>
      </c>
      <c r="G500">
        <v>6.6160936477982686</v>
      </c>
      <c r="H500">
        <v>3.157681059176447</v>
      </c>
      <c r="I500">
        <v>3.7591441180671897E-2</v>
      </c>
      <c r="J500">
        <v>0.58971990000000007</v>
      </c>
      <c r="K500">
        <v>0.32900000000000001</v>
      </c>
      <c r="L500">
        <v>17.899999999999999</v>
      </c>
      <c r="M500">
        <v>0.14171209736961821</v>
      </c>
      <c r="N500">
        <v>60</v>
      </c>
      <c r="O500">
        <v>7</v>
      </c>
      <c r="P500">
        <v>25.250430055543941</v>
      </c>
      <c r="Q500">
        <v>43.115046749761767</v>
      </c>
      <c r="R500">
        <v>24.915764840448499</v>
      </c>
      <c r="S500">
        <v>6.5059294938577086</v>
      </c>
      <c r="T500">
        <v>0.21282886038807189</v>
      </c>
      <c r="U500" t="s">
        <v>129</v>
      </c>
      <c r="V500">
        <v>856.19292908621708</v>
      </c>
      <c r="W500">
        <v>32.463115312737138</v>
      </c>
      <c r="X500">
        <v>2.29</v>
      </c>
      <c r="Y500">
        <v>-5.0999999999999996</v>
      </c>
      <c r="Z500">
        <v>8.74</v>
      </c>
      <c r="AA500">
        <v>-3.37</v>
      </c>
      <c r="AB500">
        <v>11.11</v>
      </c>
      <c r="AC500">
        <v>741.47</v>
      </c>
      <c r="AD500">
        <v>765.36</v>
      </c>
      <c r="AF500">
        <v>70.48</v>
      </c>
      <c r="AG500">
        <v>12</v>
      </c>
      <c r="AH500">
        <v>1.92</v>
      </c>
      <c r="AI500">
        <v>11.58</v>
      </c>
      <c r="AJ500">
        <v>12.12</v>
      </c>
      <c r="AK500" t="s">
        <v>132</v>
      </c>
      <c r="AL500">
        <f t="shared" si="24"/>
        <v>12.727301527112672</v>
      </c>
      <c r="AM500">
        <f t="shared" si="25"/>
        <v>3.2111756168359935E-2</v>
      </c>
      <c r="AN500">
        <f t="shared" si="26"/>
        <v>4.3450653120464436E-2</v>
      </c>
    </row>
    <row r="501" spans="1:40" x14ac:dyDescent="0.2">
      <c r="A501" t="s">
        <v>108</v>
      </c>
      <c r="B501">
        <v>2019</v>
      </c>
      <c r="C501">
        <v>198.44563354328039</v>
      </c>
      <c r="D501">
        <v>115.2998972335112</v>
      </c>
      <c r="E501">
        <v>10.05283801502144</v>
      </c>
      <c r="F501">
        <v>4.0285955681718573</v>
      </c>
      <c r="G501">
        <v>6.3413078387890343</v>
      </c>
      <c r="H501">
        <v>4.7186790682753692</v>
      </c>
      <c r="I501">
        <v>3.7301810816406003E-2</v>
      </c>
      <c r="J501">
        <v>0.47557890000000003</v>
      </c>
      <c r="K501">
        <v>0.33800000000000002</v>
      </c>
      <c r="L501">
        <v>19</v>
      </c>
      <c r="M501">
        <v>0.1525606818602927</v>
      </c>
      <c r="N501">
        <v>47</v>
      </c>
      <c r="O501">
        <v>7</v>
      </c>
      <c r="P501">
        <v>26.734179470069702</v>
      </c>
      <c r="Q501">
        <v>44.893889123267883</v>
      </c>
      <c r="R501">
        <v>22.411803340306928</v>
      </c>
      <c r="S501">
        <v>5.7039279409623349</v>
      </c>
      <c r="T501">
        <v>0.25620012539314979</v>
      </c>
      <c r="U501" t="s">
        <v>129</v>
      </c>
      <c r="V501">
        <v>2655.6613774872012</v>
      </c>
      <c r="W501">
        <v>31.57170523153475</v>
      </c>
      <c r="X501">
        <v>2.19</v>
      </c>
      <c r="Y501">
        <v>-5.25</v>
      </c>
      <c r="Z501">
        <v>8.5</v>
      </c>
      <c r="AA501">
        <v>-3.04</v>
      </c>
      <c r="AB501">
        <v>11.17</v>
      </c>
      <c r="AC501">
        <v>741.65</v>
      </c>
      <c r="AD501">
        <v>765.57</v>
      </c>
      <c r="AF501">
        <v>72.97</v>
      </c>
      <c r="AG501">
        <v>12</v>
      </c>
      <c r="AH501">
        <v>1.83</v>
      </c>
      <c r="AI501">
        <v>12.33</v>
      </c>
      <c r="AJ501">
        <v>12.62</v>
      </c>
      <c r="AK501" t="s">
        <v>132</v>
      </c>
      <c r="AL501">
        <f t="shared" si="24"/>
        <v>12.835232393671379</v>
      </c>
      <c r="AM501">
        <f t="shared" si="25"/>
        <v>3.214285714285714E-2</v>
      </c>
      <c r="AN501">
        <f t="shared" si="26"/>
        <v>5.0657894736842096E-2</v>
      </c>
    </row>
    <row r="502" spans="1:40" x14ac:dyDescent="0.2">
      <c r="A502" t="s">
        <v>108</v>
      </c>
      <c r="B502">
        <v>2018</v>
      </c>
      <c r="C502">
        <v>203.5299611358237</v>
      </c>
      <c r="D502">
        <v>120.29476496382409</v>
      </c>
      <c r="E502">
        <v>10.04626864838618</v>
      </c>
      <c r="F502">
        <v>4.9859259217916589</v>
      </c>
      <c r="G502">
        <v>6.288220005841719</v>
      </c>
      <c r="H502">
        <v>4.6696545013795019</v>
      </c>
      <c r="I502">
        <v>0.2418546156092968</v>
      </c>
      <c r="J502">
        <v>0.44868269999999999</v>
      </c>
      <c r="K502">
        <v>0.35199999999999998</v>
      </c>
      <c r="L502">
        <v>18.5</v>
      </c>
      <c r="M502">
        <v>0.16173635700991981</v>
      </c>
      <c r="N502">
        <v>56</v>
      </c>
      <c r="O502">
        <v>7</v>
      </c>
      <c r="P502">
        <v>26.485128336999999</v>
      </c>
      <c r="Q502">
        <v>41.569294296000002</v>
      </c>
      <c r="R502">
        <v>24.385721491999998</v>
      </c>
      <c r="S502">
        <v>7.2771472250000002</v>
      </c>
      <c r="T502">
        <v>0.28270864999998929</v>
      </c>
      <c r="U502" t="s">
        <v>129</v>
      </c>
      <c r="V502">
        <v>2679.5021532121741</v>
      </c>
      <c r="W502">
        <v>31.865508132936149</v>
      </c>
      <c r="X502">
        <v>1.64</v>
      </c>
      <c r="Y502">
        <v>-5.29</v>
      </c>
      <c r="Z502">
        <v>7.79</v>
      </c>
      <c r="AA502">
        <v>-3.87</v>
      </c>
      <c r="AB502">
        <v>11.2</v>
      </c>
      <c r="AC502">
        <v>741.97</v>
      </c>
      <c r="AD502">
        <v>765.91</v>
      </c>
      <c r="AF502">
        <v>71.11</v>
      </c>
      <c r="AG502">
        <v>12</v>
      </c>
      <c r="AH502">
        <v>2.16</v>
      </c>
      <c r="AI502">
        <v>12.29</v>
      </c>
      <c r="AJ502">
        <v>12.79</v>
      </c>
      <c r="AK502" t="s">
        <v>132</v>
      </c>
      <c r="AL502">
        <f t="shared" si="24"/>
        <v>12.725458469400001</v>
      </c>
      <c r="AM502">
        <f t="shared" si="25"/>
        <v>3.2084095063985373E-2</v>
      </c>
      <c r="AN502">
        <f t="shared" si="26"/>
        <v>4.93601462522852E-2</v>
      </c>
    </row>
    <row r="503" spans="1:40" x14ac:dyDescent="0.2">
      <c r="A503" t="s">
        <v>108</v>
      </c>
      <c r="B503">
        <v>2022</v>
      </c>
      <c r="C503">
        <v>178.10907562646821</v>
      </c>
      <c r="D503">
        <v>89.476686154284906</v>
      </c>
      <c r="E503">
        <v>10.337943818622559</v>
      </c>
      <c r="F503">
        <v>4.1276726680525639</v>
      </c>
      <c r="G503">
        <v>5.6849309928178497</v>
      </c>
      <c r="H503">
        <v>2.5141278978138342</v>
      </c>
      <c r="I503">
        <v>0</v>
      </c>
      <c r="J503">
        <v>0.65678910000000001</v>
      </c>
      <c r="K503">
        <v>0.33300000000000002</v>
      </c>
      <c r="L503">
        <v>16.899999999999999</v>
      </c>
      <c r="M503">
        <v>0.13732391723641049</v>
      </c>
      <c r="N503">
        <v>287</v>
      </c>
      <c r="O503">
        <v>8</v>
      </c>
      <c r="P503">
        <v>26.276337995924401</v>
      </c>
      <c r="Q503">
        <v>41.125201708109799</v>
      </c>
      <c r="R503">
        <v>26.88802002196066</v>
      </c>
      <c r="S503">
        <v>5.5033796612167354</v>
      </c>
      <c r="T503">
        <v>0.2070606127883963</v>
      </c>
      <c r="U503" t="s">
        <v>129</v>
      </c>
      <c r="V503">
        <v>863.26993639382692</v>
      </c>
      <c r="W503">
        <v>34.405369408976497</v>
      </c>
      <c r="X503">
        <v>1.54</v>
      </c>
      <c r="Y503">
        <v>-6.96</v>
      </c>
      <c r="Z503">
        <v>8.93</v>
      </c>
      <c r="AA503">
        <v>-5.54</v>
      </c>
      <c r="AB503">
        <v>10.09</v>
      </c>
      <c r="AC503">
        <v>742.25</v>
      </c>
      <c r="AD503">
        <v>766.22</v>
      </c>
      <c r="AF503">
        <v>65.64</v>
      </c>
      <c r="AG503">
        <v>12</v>
      </c>
      <c r="AH503">
        <v>1.86</v>
      </c>
      <c r="AI503">
        <v>11.74</v>
      </c>
      <c r="AJ503">
        <v>12.48</v>
      </c>
      <c r="AK503" t="s">
        <v>132</v>
      </c>
      <c r="AL503">
        <f t="shared" si="24"/>
        <v>12.748995717879648</v>
      </c>
      <c r="AM503">
        <f t="shared" si="25"/>
        <v>3.1918255556725998E-2</v>
      </c>
      <c r="AN503">
        <f t="shared" si="26"/>
        <v>5.8042768355630443E-2</v>
      </c>
    </row>
    <row r="504" spans="1:40" x14ac:dyDescent="0.2">
      <c r="A504" t="s">
        <v>108</v>
      </c>
      <c r="B504">
        <v>2017</v>
      </c>
      <c r="C504">
        <v>214.40740382540889</v>
      </c>
      <c r="D504">
        <v>126.8812724580968</v>
      </c>
      <c r="E504">
        <v>7.1233549327838004</v>
      </c>
      <c r="F504">
        <v>4.7985001897081467</v>
      </c>
      <c r="G504">
        <v>5.226273462434067</v>
      </c>
      <c r="H504">
        <v>3.0688082608598619</v>
      </c>
      <c r="I504">
        <v>0.1301918656122365</v>
      </c>
      <c r="J504">
        <v>0.40371970000000001</v>
      </c>
      <c r="K504">
        <v>0.35199999999999998</v>
      </c>
      <c r="L504">
        <v>18.8</v>
      </c>
      <c r="M504">
        <v>0.1699524397536272</v>
      </c>
      <c r="N504">
        <v>56</v>
      </c>
      <c r="O504">
        <v>1</v>
      </c>
      <c r="P504">
        <v>26.442024075999999</v>
      </c>
      <c r="Q504">
        <v>41.656323944999997</v>
      </c>
      <c r="R504">
        <v>26.161974731000001</v>
      </c>
      <c r="S504">
        <v>5.488178939</v>
      </c>
      <c r="T504">
        <v>0.25149830900001291</v>
      </c>
      <c r="U504" t="s">
        <v>129</v>
      </c>
      <c r="V504">
        <v>2685.774130984747</v>
      </c>
      <c r="W504">
        <v>31.310943654572188</v>
      </c>
      <c r="X504">
        <v>3.42</v>
      </c>
      <c r="Y504">
        <v>-2.67</v>
      </c>
      <c r="Z504">
        <v>9.86</v>
      </c>
      <c r="AA504">
        <v>-1.84</v>
      </c>
      <c r="AB504">
        <v>10.44</v>
      </c>
      <c r="AC504">
        <v>742.14</v>
      </c>
      <c r="AD504">
        <v>765.9</v>
      </c>
      <c r="AE504">
        <v>0.01</v>
      </c>
      <c r="AF504">
        <v>73.56</v>
      </c>
      <c r="AG504">
        <v>12</v>
      </c>
      <c r="AH504">
        <v>1.94</v>
      </c>
      <c r="AJ504">
        <v>13.24</v>
      </c>
      <c r="AK504" t="s">
        <v>132</v>
      </c>
      <c r="AL504">
        <f t="shared" si="24"/>
        <v>12.763438981530001</v>
      </c>
      <c r="AM504">
        <f t="shared" si="25"/>
        <v>2.498265093684942E-2</v>
      </c>
      <c r="AN504">
        <f t="shared" si="26"/>
        <v>3.3223455933379616E-2</v>
      </c>
    </row>
    <row r="505" spans="1:40" x14ac:dyDescent="0.2">
      <c r="A505" t="s">
        <v>108</v>
      </c>
      <c r="B505">
        <v>2020</v>
      </c>
      <c r="C505">
        <v>202.87798870217239</v>
      </c>
      <c r="D505">
        <v>110.1706653289959</v>
      </c>
      <c r="E505">
        <v>12.01657613680179</v>
      </c>
      <c r="F505">
        <v>4.0055253789339309</v>
      </c>
      <c r="G505">
        <v>5.18472210263878</v>
      </c>
      <c r="H505">
        <v>3.1258071882334879</v>
      </c>
      <c r="I505">
        <v>1.87174083127753E-2</v>
      </c>
      <c r="J505">
        <v>0.4954712</v>
      </c>
      <c r="K505">
        <v>0.32600000000000001</v>
      </c>
      <c r="L505">
        <v>18.5</v>
      </c>
      <c r="M505">
        <v>0.1461400832718672</v>
      </c>
      <c r="N505">
        <v>59</v>
      </c>
      <c r="O505">
        <v>7</v>
      </c>
      <c r="P505">
        <v>26.144782974999998</v>
      </c>
      <c r="Q505">
        <v>44.568046616999993</v>
      </c>
      <c r="R505">
        <v>23.522336819</v>
      </c>
      <c r="S505">
        <v>5.6502018170000001</v>
      </c>
      <c r="T505">
        <v>0.1146317720000098</v>
      </c>
      <c r="U505" t="s">
        <v>129</v>
      </c>
      <c r="V505">
        <v>2680.3746395440671</v>
      </c>
      <c r="W505">
        <v>31.665155646244909</v>
      </c>
      <c r="X505">
        <v>3.78</v>
      </c>
      <c r="Y505">
        <v>-3.24</v>
      </c>
      <c r="Z505">
        <v>9.8000000000000007</v>
      </c>
      <c r="AA505">
        <v>-1.65</v>
      </c>
      <c r="AB505">
        <v>11.57</v>
      </c>
      <c r="AC505">
        <v>741.66</v>
      </c>
      <c r="AD505">
        <v>765.45</v>
      </c>
      <c r="AF505">
        <v>72.430000000000007</v>
      </c>
      <c r="AG505">
        <v>12</v>
      </c>
      <c r="AH505">
        <v>2.0299999999999998</v>
      </c>
      <c r="AI505">
        <v>11.99</v>
      </c>
      <c r="AJ505">
        <v>12.99</v>
      </c>
      <c r="AK505" t="s">
        <v>132</v>
      </c>
      <c r="AL505">
        <f t="shared" si="24"/>
        <v>12.816123990959998</v>
      </c>
      <c r="AM505">
        <f t="shared" si="25"/>
        <v>2.5648122520527717E-2</v>
      </c>
      <c r="AN505">
        <f t="shared" si="26"/>
        <v>5.9230556324384134E-2</v>
      </c>
    </row>
    <row r="506" spans="1:40" x14ac:dyDescent="0.2">
      <c r="A506" t="s">
        <v>109</v>
      </c>
      <c r="B506">
        <v>2018</v>
      </c>
      <c r="C506">
        <v>128.55014337727499</v>
      </c>
      <c r="D506">
        <v>61.616580285836157</v>
      </c>
      <c r="E506">
        <v>10.525209144727061</v>
      </c>
      <c r="F506">
        <v>2.5134827808303442</v>
      </c>
      <c r="G506">
        <v>8.0117263638967202</v>
      </c>
      <c r="H506">
        <v>2.7249536878713578</v>
      </c>
      <c r="I506">
        <v>0.1147984923936935</v>
      </c>
      <c r="J506">
        <v>2.7029323999999999</v>
      </c>
      <c r="K506">
        <v>0.39800000000000002</v>
      </c>
      <c r="L506">
        <v>9</v>
      </c>
      <c r="M506">
        <v>0.17729573269395721</v>
      </c>
      <c r="N506">
        <v>118</v>
      </c>
      <c r="O506">
        <v>5</v>
      </c>
      <c r="P506">
        <v>36.340111243000003</v>
      </c>
      <c r="Q506">
        <v>45.606406153999998</v>
      </c>
      <c r="R506">
        <v>15.191659040999999</v>
      </c>
      <c r="S506">
        <v>2.7512601550000002</v>
      </c>
      <c r="T506">
        <v>0.11056340700000079</v>
      </c>
      <c r="U506" t="s">
        <v>109</v>
      </c>
      <c r="V506">
        <v>2556.425730511944</v>
      </c>
      <c r="W506">
        <v>23.133479511718431</v>
      </c>
      <c r="AK506" t="s">
        <v>137</v>
      </c>
      <c r="AL506">
        <f t="shared" si="24"/>
        <v>13.30296793121</v>
      </c>
      <c r="AM506">
        <f t="shared" si="25"/>
        <v>6.3216770069561945E-2</v>
      </c>
      <c r="AN506">
        <f t="shared" si="26"/>
        <v>8.1876292536190984E-2</v>
      </c>
    </row>
    <row r="507" spans="1:40" x14ac:dyDescent="0.2">
      <c r="A507" t="s">
        <v>109</v>
      </c>
      <c r="B507">
        <v>2021</v>
      </c>
      <c r="C507">
        <v>123.176907114847</v>
      </c>
      <c r="D507">
        <v>50.887207922951042</v>
      </c>
      <c r="E507">
        <v>10.559036390160539</v>
      </c>
      <c r="F507">
        <v>2.1864671312958701</v>
      </c>
      <c r="G507">
        <v>6.9623275861047347</v>
      </c>
      <c r="H507">
        <v>2.5005125458180411</v>
      </c>
      <c r="I507">
        <v>8.8880777694954005E-2</v>
      </c>
      <c r="J507">
        <v>3.341316</v>
      </c>
      <c r="K507">
        <v>0.38500000000000001</v>
      </c>
      <c r="L507">
        <v>8.1999999999999993</v>
      </c>
      <c r="M507">
        <v>0.15790642102647379</v>
      </c>
      <c r="N507">
        <v>127</v>
      </c>
      <c r="O507">
        <v>5</v>
      </c>
      <c r="P507">
        <v>32.970552001979499</v>
      </c>
      <c r="Q507">
        <v>46.670434208613258</v>
      </c>
      <c r="R507">
        <v>16.889266087301479</v>
      </c>
      <c r="S507">
        <v>3.3078702764828578</v>
      </c>
      <c r="T507">
        <v>0.1618774256229045</v>
      </c>
      <c r="U507" t="s">
        <v>109</v>
      </c>
      <c r="V507">
        <v>897.95878119551116</v>
      </c>
      <c r="W507">
        <v>24.865306601581821</v>
      </c>
      <c r="AK507" t="s">
        <v>137</v>
      </c>
      <c r="AL507">
        <f t="shared" si="24"/>
        <v>13.174741938928184</v>
      </c>
      <c r="AM507">
        <f t="shared" si="25"/>
        <v>5.7244564171637487E-2</v>
      </c>
      <c r="AN507">
        <f t="shared" si="26"/>
        <v>8.572253223013275E-2</v>
      </c>
    </row>
    <row r="508" spans="1:40" x14ac:dyDescent="0.2">
      <c r="A508" t="s">
        <v>109</v>
      </c>
      <c r="B508">
        <v>2016</v>
      </c>
      <c r="C508">
        <v>138.91458762997499</v>
      </c>
      <c r="D508">
        <v>71.916176683028482</v>
      </c>
      <c r="E508">
        <v>9.7925010219731927</v>
      </c>
      <c r="F508">
        <v>3.1904005212831681</v>
      </c>
      <c r="G508">
        <v>6.4545675286075657</v>
      </c>
      <c r="H508">
        <v>2.2252889955770851</v>
      </c>
      <c r="I508">
        <v>0.19671062944327819</v>
      </c>
      <c r="J508">
        <v>1.9060727</v>
      </c>
      <c r="K508">
        <v>0.39900000000000002</v>
      </c>
      <c r="L508">
        <v>11.6</v>
      </c>
      <c r="M508">
        <v>0.19606826703137181</v>
      </c>
      <c r="N508">
        <v>117</v>
      </c>
      <c r="O508">
        <v>7</v>
      </c>
      <c r="P508">
        <v>35.819971135000003</v>
      </c>
      <c r="Q508">
        <v>40.177990932999997</v>
      </c>
      <c r="R508">
        <v>22.045119371999998</v>
      </c>
      <c r="S508">
        <v>1.880894957</v>
      </c>
      <c r="T508">
        <v>7.6023603000010098E-2</v>
      </c>
      <c r="U508" t="s">
        <v>109</v>
      </c>
      <c r="AK508" t="s">
        <v>137</v>
      </c>
      <c r="AL508">
        <f t="shared" si="24"/>
        <v>13.19341911271</v>
      </c>
      <c r="AM508">
        <f t="shared" si="25"/>
        <v>4.7880343393220649E-2</v>
      </c>
      <c r="AN508">
        <f t="shared" si="26"/>
        <v>7.0492963979113213E-2</v>
      </c>
    </row>
    <row r="509" spans="1:40" x14ac:dyDescent="0.2">
      <c r="A509" t="s">
        <v>109</v>
      </c>
      <c r="B509">
        <v>2022</v>
      </c>
      <c r="C509">
        <v>118.89625344928091</v>
      </c>
      <c r="D509">
        <v>48.069657239653331</v>
      </c>
      <c r="E509">
        <v>11.62354421235608</v>
      </c>
      <c r="F509">
        <v>2.4157365983511139</v>
      </c>
      <c r="G509">
        <v>6.3427673488107743</v>
      </c>
      <c r="H509">
        <v>2.3107045723358479</v>
      </c>
      <c r="I509">
        <v>5.8351125564036502E-2</v>
      </c>
      <c r="J509">
        <v>4.0035333</v>
      </c>
      <c r="K509">
        <v>0.38800000000000001</v>
      </c>
      <c r="L509">
        <v>6.9</v>
      </c>
      <c r="M509">
        <v>0.15498584109938179</v>
      </c>
      <c r="N509">
        <v>124</v>
      </c>
      <c r="O509">
        <v>5</v>
      </c>
      <c r="P509">
        <v>34.024150900168671</v>
      </c>
      <c r="Q509">
        <v>47.244413775824277</v>
      </c>
      <c r="R509">
        <v>16.131531455374748</v>
      </c>
      <c r="S509">
        <v>2.593068582762633</v>
      </c>
      <c r="T509">
        <v>6.8352858696840713E-3</v>
      </c>
      <c r="U509" t="s">
        <v>109</v>
      </c>
      <c r="V509">
        <v>1000.630395205158</v>
      </c>
      <c r="W509">
        <v>27.63969661529357</v>
      </c>
      <c r="AK509" t="s">
        <v>137</v>
      </c>
      <c r="AL509">
        <f t="shared" si="24"/>
        <v>13.253514469857102</v>
      </c>
      <c r="AM509">
        <f t="shared" si="25"/>
        <v>5.3837848449155866E-2</v>
      </c>
      <c r="AN509">
        <f t="shared" si="26"/>
        <v>9.7762073027090668E-2</v>
      </c>
    </row>
    <row r="510" spans="1:40" x14ac:dyDescent="0.2">
      <c r="A510" t="s">
        <v>109</v>
      </c>
      <c r="B510">
        <v>2017</v>
      </c>
      <c r="C510">
        <v>137.58764772993749</v>
      </c>
      <c r="D510">
        <v>68.884949558890895</v>
      </c>
      <c r="E510">
        <v>8.8270422179264898</v>
      </c>
      <c r="F510">
        <v>2.8734968816787538</v>
      </c>
      <c r="G510">
        <v>6.3119730656748949</v>
      </c>
      <c r="H510">
        <v>2.5089941059901171</v>
      </c>
      <c r="I510">
        <v>0.1032757864451137</v>
      </c>
      <c r="J510">
        <v>2.1462918000000002</v>
      </c>
      <c r="K510">
        <v>0.39200000000000002</v>
      </c>
      <c r="L510">
        <v>9.5</v>
      </c>
      <c r="M510">
        <v>0.18671094053528051</v>
      </c>
      <c r="N510">
        <v>121</v>
      </c>
      <c r="O510">
        <v>7</v>
      </c>
      <c r="P510">
        <v>38.077839347999998</v>
      </c>
      <c r="Q510">
        <v>39.667130352999997</v>
      </c>
      <c r="R510">
        <v>18.621964308999999</v>
      </c>
      <c r="S510">
        <v>3.5958777319999999</v>
      </c>
      <c r="T510">
        <v>3.7188258000000467E-2</v>
      </c>
      <c r="U510" t="s">
        <v>109</v>
      </c>
      <c r="V510">
        <v>2508.6218477825678</v>
      </c>
      <c r="W510">
        <v>24.394352453987729</v>
      </c>
      <c r="AK510" t="s">
        <v>137</v>
      </c>
      <c r="AL510">
        <f t="shared" si="24"/>
        <v>13.241935448279998</v>
      </c>
      <c r="AM510">
        <f t="shared" si="25"/>
        <v>4.6626633698339796E-2</v>
      </c>
      <c r="AN510">
        <f t="shared" si="26"/>
        <v>6.415577534440127E-2</v>
      </c>
    </row>
    <row r="511" spans="1:40" x14ac:dyDescent="0.2">
      <c r="A511" t="s">
        <v>109</v>
      </c>
      <c r="B511">
        <v>2019</v>
      </c>
      <c r="C511">
        <v>124.4083555966931</v>
      </c>
      <c r="D511">
        <v>51.677039539125921</v>
      </c>
      <c r="E511">
        <v>8.4926328063252985</v>
      </c>
      <c r="F511">
        <v>2.4462148281489</v>
      </c>
      <c r="G511">
        <v>6.1786458067249868</v>
      </c>
      <c r="H511">
        <v>1.9894277840719561</v>
      </c>
      <c r="I511">
        <v>0.3125385038421199</v>
      </c>
      <c r="J511">
        <v>2.7164565999999999</v>
      </c>
      <c r="K511">
        <v>0.39900000000000002</v>
      </c>
      <c r="L511">
        <v>8.9</v>
      </c>
      <c r="M511">
        <v>0.1683299935236994</v>
      </c>
      <c r="N511">
        <v>94</v>
      </c>
      <c r="O511">
        <v>5</v>
      </c>
      <c r="P511">
        <v>37.88097354439946</v>
      </c>
      <c r="Q511">
        <v>44.815529259106661</v>
      </c>
      <c r="R511">
        <v>14.575064821575049</v>
      </c>
      <c r="S511">
        <v>2.5529228939875148</v>
      </c>
      <c r="T511">
        <v>0.17550948093131069</v>
      </c>
      <c r="U511" t="s">
        <v>109</v>
      </c>
      <c r="V511">
        <v>2314.4708953441459</v>
      </c>
      <c r="W511">
        <v>24.31917070821725</v>
      </c>
      <c r="AK511" t="s">
        <v>137</v>
      </c>
      <c r="AL511">
        <f t="shared" si="24"/>
        <v>13.348205405413168</v>
      </c>
      <c r="AM511">
        <f t="shared" si="25"/>
        <v>5.2176433644137397E-2</v>
      </c>
      <c r="AN511">
        <f t="shared" si="26"/>
        <v>6.8264167351079763E-2</v>
      </c>
    </row>
    <row r="512" spans="1:40" x14ac:dyDescent="0.2">
      <c r="A512" t="s">
        <v>109</v>
      </c>
      <c r="B512">
        <v>2020</v>
      </c>
      <c r="C512">
        <v>125.2600503022674</v>
      </c>
      <c r="D512">
        <v>51.323360458978343</v>
      </c>
      <c r="E512">
        <v>7.9597486319741844</v>
      </c>
      <c r="F512">
        <v>2.4661486759229838</v>
      </c>
      <c r="G512">
        <v>5.8578495183545964</v>
      </c>
      <c r="H512">
        <v>1.9406738975180871</v>
      </c>
      <c r="I512">
        <v>2.9856521500278201E-2</v>
      </c>
      <c r="J512">
        <v>1.9759888999999999</v>
      </c>
      <c r="K512">
        <v>0.38400000000000001</v>
      </c>
      <c r="L512">
        <v>8.4</v>
      </c>
      <c r="M512">
        <v>0.16215641732344241</v>
      </c>
      <c r="N512">
        <v>125</v>
      </c>
      <c r="O512">
        <v>5</v>
      </c>
      <c r="P512">
        <v>32.874165357000003</v>
      </c>
      <c r="Q512">
        <v>44.258760844999998</v>
      </c>
      <c r="R512">
        <v>19.774344257999999</v>
      </c>
      <c r="S512">
        <v>3.015650591</v>
      </c>
      <c r="T512">
        <v>7.7078949000011221E-2</v>
      </c>
      <c r="U512" t="s">
        <v>109</v>
      </c>
      <c r="V512">
        <v>2430.159678540324</v>
      </c>
      <c r="W512">
        <v>22.334325635647751</v>
      </c>
      <c r="AK512" t="s">
        <v>137</v>
      </c>
      <c r="AL512">
        <f t="shared" si="24"/>
        <v>13.134433292929998</v>
      </c>
      <c r="AM512">
        <f t="shared" si="25"/>
        <v>4.7003861371978851E-2</v>
      </c>
      <c r="AN512">
        <f t="shared" si="26"/>
        <v>6.3545788244267543E-2</v>
      </c>
    </row>
    <row r="513" spans="1:40" x14ac:dyDescent="0.2">
      <c r="A513" t="s">
        <v>110</v>
      </c>
      <c r="B513">
        <v>2018</v>
      </c>
      <c r="C513">
        <v>185.68946898915439</v>
      </c>
      <c r="D513">
        <v>85.261073747880062</v>
      </c>
      <c r="E513">
        <v>15.85726571383748</v>
      </c>
      <c r="F513">
        <v>3.6272171257324568</v>
      </c>
      <c r="G513">
        <v>8.9807262221173776</v>
      </c>
      <c r="H513">
        <v>3.807575988337939</v>
      </c>
      <c r="I513">
        <v>4.58054254236143E-2</v>
      </c>
      <c r="J513">
        <v>0.43636540000000001</v>
      </c>
      <c r="K513">
        <v>0.35399999999999998</v>
      </c>
      <c r="L513">
        <v>12.8</v>
      </c>
      <c r="M513">
        <v>0.1701204540726822</v>
      </c>
      <c r="N513">
        <v>457</v>
      </c>
      <c r="O513">
        <v>14</v>
      </c>
      <c r="P513">
        <v>31.383336797999998</v>
      </c>
      <c r="Q513">
        <v>52.073331345</v>
      </c>
      <c r="R513">
        <v>12.802993195000001</v>
      </c>
      <c r="S513">
        <v>3.2361111230000001</v>
      </c>
      <c r="T513">
        <v>0.50422753899999861</v>
      </c>
      <c r="U513" t="s">
        <v>110</v>
      </c>
      <c r="V513">
        <v>2386.668737673152</v>
      </c>
      <c r="W513">
        <v>29.356308577058751</v>
      </c>
      <c r="X513">
        <v>1.99</v>
      </c>
      <c r="AA513">
        <v>-4.26</v>
      </c>
      <c r="AD513">
        <v>763.6</v>
      </c>
      <c r="AF513">
        <v>67.040000000000006</v>
      </c>
      <c r="AH513">
        <v>3.92</v>
      </c>
      <c r="AI513">
        <v>14.17</v>
      </c>
      <c r="AK513" t="s">
        <v>137</v>
      </c>
      <c r="AL513">
        <f t="shared" si="24"/>
        <v>13.196781948629997</v>
      </c>
      <c r="AM513">
        <f t="shared" si="25"/>
        <v>4.861089698128334E-2</v>
      </c>
      <c r="AN513">
        <f t="shared" si="26"/>
        <v>8.5396688353735664E-2</v>
      </c>
    </row>
    <row r="514" spans="1:40" x14ac:dyDescent="0.2">
      <c r="A514" t="s">
        <v>110</v>
      </c>
      <c r="B514">
        <v>2022</v>
      </c>
      <c r="C514">
        <v>183.6708211117982</v>
      </c>
      <c r="D514">
        <v>78.911466011370266</v>
      </c>
      <c r="E514">
        <v>16.11547494765539</v>
      </c>
      <c r="F514">
        <v>3.8549712469999031</v>
      </c>
      <c r="G514">
        <v>8.3441568689800771</v>
      </c>
      <c r="H514">
        <v>3.9046562441181729</v>
      </c>
      <c r="I514">
        <v>0.22796645736618071</v>
      </c>
      <c r="J514">
        <v>0.67354480000000005</v>
      </c>
      <c r="K514">
        <v>0.34899999999999998</v>
      </c>
      <c r="L514">
        <v>10.6</v>
      </c>
      <c r="M514">
        <v>0.1447008320191164</v>
      </c>
      <c r="N514">
        <v>402</v>
      </c>
      <c r="O514">
        <v>13</v>
      </c>
      <c r="P514">
        <v>33.136244407219102</v>
      </c>
      <c r="Q514">
        <v>50.937206174853713</v>
      </c>
      <c r="R514">
        <v>11.04096207080867</v>
      </c>
      <c r="S514">
        <v>4.7049907132171889</v>
      </c>
      <c r="T514">
        <v>0.1805966339013452</v>
      </c>
      <c r="U514" t="s">
        <v>110</v>
      </c>
      <c r="V514">
        <v>836.71502872704241</v>
      </c>
      <c r="W514">
        <v>32.478335895401877</v>
      </c>
      <c r="X514">
        <v>3.03</v>
      </c>
      <c r="AA514">
        <v>-2.71</v>
      </c>
      <c r="AD514">
        <v>762.52</v>
      </c>
      <c r="AF514">
        <v>70.72</v>
      </c>
      <c r="AH514">
        <v>4.0599999999999996</v>
      </c>
      <c r="AI514">
        <v>13.01</v>
      </c>
      <c r="AK514" t="s">
        <v>137</v>
      </c>
      <c r="AL514">
        <f t="shared" si="24"/>
        <v>13.237452321148403</v>
      </c>
      <c r="AM514">
        <f t="shared" si="25"/>
        <v>4.6671122143720968E-2</v>
      </c>
      <c r="AN514">
        <f t="shared" si="26"/>
        <v>8.774107313347336E-2</v>
      </c>
    </row>
    <row r="515" spans="1:40" x14ac:dyDescent="0.2">
      <c r="A515" t="s">
        <v>110</v>
      </c>
      <c r="B515">
        <v>2021</v>
      </c>
      <c r="C515">
        <v>189.66774233838049</v>
      </c>
      <c r="D515">
        <v>80.216451096633278</v>
      </c>
      <c r="E515">
        <v>16.338397994661339</v>
      </c>
      <c r="F515">
        <v>3.706274816211176</v>
      </c>
      <c r="G515">
        <v>8.307167691507809</v>
      </c>
      <c r="H515">
        <v>4.0228766617966141</v>
      </c>
      <c r="I515">
        <v>0.20622689024372531</v>
      </c>
      <c r="J515">
        <v>0.60140110000000002</v>
      </c>
      <c r="K515">
        <v>0.34200000000000003</v>
      </c>
      <c r="L515">
        <v>12</v>
      </c>
      <c r="M515">
        <v>0.14887447395153089</v>
      </c>
      <c r="N515">
        <v>401</v>
      </c>
      <c r="O515">
        <v>12</v>
      </c>
      <c r="P515">
        <v>30.884007729596298</v>
      </c>
      <c r="Q515">
        <v>51.658056597621879</v>
      </c>
      <c r="R515">
        <v>12.767829132920509</v>
      </c>
      <c r="S515">
        <v>4.4619297214400371</v>
      </c>
      <c r="T515">
        <v>0.22817681842126089</v>
      </c>
      <c r="U515" t="s">
        <v>110</v>
      </c>
      <c r="V515">
        <v>846.72487527045644</v>
      </c>
      <c r="W515">
        <v>29.326039229288639</v>
      </c>
      <c r="X515">
        <v>4.12</v>
      </c>
      <c r="AA515">
        <v>-3.29</v>
      </c>
      <c r="AD515">
        <v>762.94</v>
      </c>
      <c r="AF515">
        <v>64.61</v>
      </c>
      <c r="AH515">
        <v>4.21</v>
      </c>
      <c r="AI515">
        <v>13.88</v>
      </c>
      <c r="AK515" t="s">
        <v>137</v>
      </c>
      <c r="AL515">
        <f t="shared" si="24"/>
        <v>13.163310469418001</v>
      </c>
      <c r="AM515">
        <f t="shared" si="25"/>
        <v>4.4885832861146432E-2</v>
      </c>
      <c r="AN515">
        <f t="shared" si="26"/>
        <v>8.6142207384492908E-2</v>
      </c>
    </row>
    <row r="516" spans="1:40" x14ac:dyDescent="0.2">
      <c r="A516" t="s">
        <v>110</v>
      </c>
      <c r="B516">
        <v>2017</v>
      </c>
      <c r="C516">
        <v>194.76501738988671</v>
      </c>
      <c r="D516">
        <v>86.699599094658026</v>
      </c>
      <c r="E516">
        <v>16.197820703573029</v>
      </c>
      <c r="F516">
        <v>3.6347304346286742</v>
      </c>
      <c r="G516">
        <v>7.8861943915509789</v>
      </c>
      <c r="H516">
        <v>3.84601877097001</v>
      </c>
      <c r="I516">
        <v>5.1394460191135902E-2</v>
      </c>
      <c r="J516">
        <v>0.40481980000000001</v>
      </c>
      <c r="K516">
        <v>0.35199999999999998</v>
      </c>
      <c r="L516">
        <v>13.2</v>
      </c>
      <c r="M516">
        <v>0.1786686066124448</v>
      </c>
      <c r="N516">
        <v>471</v>
      </c>
      <c r="O516">
        <v>15</v>
      </c>
      <c r="P516">
        <v>29.872684611</v>
      </c>
      <c r="Q516">
        <v>53.056716889999997</v>
      </c>
      <c r="R516">
        <v>13.284799642999999</v>
      </c>
      <c r="S516">
        <v>3.4560397630000002</v>
      </c>
      <c r="T516">
        <v>0.32975909299999268</v>
      </c>
      <c r="U516" t="s">
        <v>110</v>
      </c>
      <c r="V516">
        <v>2370.7031592003968</v>
      </c>
      <c r="W516">
        <v>30.405930350934462</v>
      </c>
      <c r="X516">
        <v>1.66</v>
      </c>
      <c r="AA516">
        <v>-3.74</v>
      </c>
      <c r="AD516">
        <v>762.69</v>
      </c>
      <c r="AF516">
        <v>71.239999999999995</v>
      </c>
      <c r="AH516">
        <v>3.98</v>
      </c>
      <c r="AI516">
        <v>13.53</v>
      </c>
      <c r="AK516" t="s">
        <v>137</v>
      </c>
      <c r="AL516">
        <f t="shared" si="24"/>
        <v>13.163837790470001</v>
      </c>
      <c r="AM516">
        <f t="shared" si="25"/>
        <v>4.0754694852887269E-2</v>
      </c>
      <c r="AN516">
        <f t="shared" si="26"/>
        <v>8.3165965431809166E-2</v>
      </c>
    </row>
    <row r="517" spans="1:40" x14ac:dyDescent="0.2">
      <c r="A517" t="s">
        <v>110</v>
      </c>
      <c r="B517">
        <v>2020</v>
      </c>
      <c r="C517">
        <v>182.80223484574199</v>
      </c>
      <c r="D517">
        <v>78.381730277417091</v>
      </c>
      <c r="E517">
        <v>13.403073937021709</v>
      </c>
      <c r="F517">
        <v>3.3983687253145871</v>
      </c>
      <c r="G517">
        <v>7.0477205398502001</v>
      </c>
      <c r="H517">
        <v>2.8848630944945559</v>
      </c>
      <c r="I517">
        <v>8.6545892834836602E-2</v>
      </c>
      <c r="J517">
        <v>0.46360390000000001</v>
      </c>
      <c r="K517">
        <v>0.33400000000000002</v>
      </c>
      <c r="L517">
        <v>12.6</v>
      </c>
      <c r="M517">
        <v>0.15406505260378189</v>
      </c>
      <c r="N517">
        <v>427</v>
      </c>
      <c r="O517">
        <v>12</v>
      </c>
      <c r="P517">
        <v>31.759271500000001</v>
      </c>
      <c r="Q517">
        <v>51.489931063</v>
      </c>
      <c r="R517">
        <v>12.209934370999999</v>
      </c>
      <c r="S517">
        <v>4.2812089310000001</v>
      </c>
      <c r="T517">
        <v>0.25965413500000523</v>
      </c>
      <c r="U517" t="s">
        <v>110</v>
      </c>
      <c r="V517">
        <v>2488.1031700663721</v>
      </c>
      <c r="W517">
        <v>32.849985780929501</v>
      </c>
      <c r="X517">
        <v>5.22</v>
      </c>
      <c r="AA517">
        <v>-1.53</v>
      </c>
      <c r="AD517">
        <v>762.67</v>
      </c>
      <c r="AF517">
        <v>66.89</v>
      </c>
      <c r="AH517">
        <v>4.25</v>
      </c>
      <c r="AI517">
        <v>14.2</v>
      </c>
      <c r="AK517" t="s">
        <v>137</v>
      </c>
      <c r="AL517">
        <f t="shared" si="24"/>
        <v>13.196369513190001</v>
      </c>
      <c r="AM517">
        <f t="shared" si="25"/>
        <v>3.9027238582204977E-2</v>
      </c>
      <c r="AN517">
        <f t="shared" si="26"/>
        <v>7.3320077012909157E-2</v>
      </c>
    </row>
    <row r="518" spans="1:40" x14ac:dyDescent="0.2">
      <c r="A518" t="s">
        <v>110</v>
      </c>
      <c r="B518">
        <v>2019</v>
      </c>
      <c r="C518">
        <v>191.5182120248476</v>
      </c>
      <c r="D518">
        <v>79.461918036178062</v>
      </c>
      <c r="E518">
        <v>16.29862651344903</v>
      </c>
      <c r="F518">
        <v>3.2539711538765852</v>
      </c>
      <c r="G518">
        <v>6.7553707067216804</v>
      </c>
      <c r="H518">
        <v>2.9317388203361978</v>
      </c>
      <c r="I518">
        <v>0.12083712507764501</v>
      </c>
      <c r="J518">
        <v>0.44554569999999999</v>
      </c>
      <c r="K518">
        <v>0.34699999999999998</v>
      </c>
      <c r="L518">
        <v>12.8</v>
      </c>
      <c r="M518">
        <v>0.16131178556897849</v>
      </c>
      <c r="N518">
        <v>337</v>
      </c>
      <c r="O518">
        <v>13</v>
      </c>
      <c r="P518">
        <v>30.871813646907139</v>
      </c>
      <c r="Q518">
        <v>52.316853390412327</v>
      </c>
      <c r="R518">
        <v>12.892513742400419</v>
      </c>
      <c r="S518">
        <v>3.6534114963299378</v>
      </c>
      <c r="T518">
        <v>0.26540772395017598</v>
      </c>
      <c r="U518" t="s">
        <v>110</v>
      </c>
      <c r="V518">
        <v>2298.4862900743051</v>
      </c>
      <c r="W518">
        <v>29.904622517940929</v>
      </c>
      <c r="X518">
        <v>3.66</v>
      </c>
      <c r="AA518">
        <v>-2.68</v>
      </c>
      <c r="AD518">
        <v>761.58</v>
      </c>
      <c r="AF518">
        <v>67.91</v>
      </c>
      <c r="AH518">
        <v>4.3</v>
      </c>
      <c r="AI518">
        <v>14.37</v>
      </c>
      <c r="AK518" t="s">
        <v>137</v>
      </c>
      <c r="AL518">
        <f t="shared" si="24"/>
        <v>13.189562843081422</v>
      </c>
      <c r="AM518">
        <f t="shared" si="25"/>
        <v>3.5903675995613435E-2</v>
      </c>
      <c r="AN518">
        <f t="shared" si="26"/>
        <v>8.5102227830606753E-2</v>
      </c>
    </row>
    <row r="519" spans="1:40" x14ac:dyDescent="0.2">
      <c r="A519" t="s">
        <v>110</v>
      </c>
      <c r="B519">
        <v>2016</v>
      </c>
      <c r="C519">
        <v>184.46512084956339</v>
      </c>
      <c r="D519">
        <v>91.244191188316904</v>
      </c>
      <c r="E519">
        <v>11.831865252708299</v>
      </c>
      <c r="F519">
        <v>3.9020588930950129</v>
      </c>
      <c r="G519">
        <v>6.7186255611709136</v>
      </c>
      <c r="H519">
        <v>3.2736160259786851</v>
      </c>
      <c r="I519">
        <v>0.28851240717613191</v>
      </c>
      <c r="J519">
        <v>0.38046999999999997</v>
      </c>
      <c r="K519">
        <v>0.36099999999999999</v>
      </c>
      <c r="L519">
        <v>13.8</v>
      </c>
      <c r="M519">
        <v>0.18719727926122001</v>
      </c>
      <c r="N519">
        <v>492</v>
      </c>
      <c r="O519">
        <v>15</v>
      </c>
      <c r="P519">
        <v>32.817676179000003</v>
      </c>
      <c r="Q519">
        <v>50.512924276</v>
      </c>
      <c r="R519">
        <v>13.246105552</v>
      </c>
      <c r="S519">
        <v>3.2830114510000001</v>
      </c>
      <c r="T519">
        <v>0.14028254199999421</v>
      </c>
      <c r="U519" t="s">
        <v>110</v>
      </c>
      <c r="X519">
        <v>2.17</v>
      </c>
      <c r="AA519">
        <v>-3.16</v>
      </c>
      <c r="AD519">
        <v>763.06</v>
      </c>
      <c r="AF519">
        <v>72.48</v>
      </c>
      <c r="AH519">
        <v>3.79</v>
      </c>
      <c r="AI519">
        <v>13.18</v>
      </c>
      <c r="AK519" t="s">
        <v>137</v>
      </c>
      <c r="AL519">
        <f t="shared" si="24"/>
        <v>13.247485525719998</v>
      </c>
      <c r="AM519">
        <f t="shared" si="25"/>
        <v>3.7986248761149637E-2</v>
      </c>
      <c r="AN519">
        <f t="shared" si="26"/>
        <v>6.414147670961344E-2</v>
      </c>
    </row>
    <row r="520" spans="1:40" x14ac:dyDescent="0.2">
      <c r="A520" t="s">
        <v>111</v>
      </c>
      <c r="B520">
        <v>2019</v>
      </c>
      <c r="C520">
        <v>101.60250777549361</v>
      </c>
      <c r="D520">
        <v>51.291692380629307</v>
      </c>
      <c r="E520">
        <v>7.8633638358829314</v>
      </c>
      <c r="F520">
        <v>1.822796398546668</v>
      </c>
      <c r="G520">
        <v>9.1957217415470875</v>
      </c>
      <c r="H520">
        <v>3.4902872743472062</v>
      </c>
      <c r="I520">
        <v>0.27791514596675643</v>
      </c>
      <c r="J520">
        <v>0.28074339999999998</v>
      </c>
      <c r="K520">
        <v>0.34300000000000003</v>
      </c>
      <c r="L520">
        <v>17.399999999999999</v>
      </c>
      <c r="M520">
        <v>0.1555137689586065</v>
      </c>
      <c r="N520">
        <v>104</v>
      </c>
      <c r="O520">
        <v>4</v>
      </c>
      <c r="P520">
        <v>33.881125240599737</v>
      </c>
      <c r="Q520">
        <v>44.249453042819873</v>
      </c>
      <c r="R520">
        <v>18.11677153720164</v>
      </c>
      <c r="S520">
        <v>3.6332382419330549</v>
      </c>
      <c r="T520">
        <v>0.11941193744570459</v>
      </c>
      <c r="U520" t="s">
        <v>130</v>
      </c>
      <c r="V520">
        <v>2572.281784075451</v>
      </c>
      <c r="W520">
        <v>35.597662083828773</v>
      </c>
      <c r="AK520" t="s">
        <v>135</v>
      </c>
      <c r="AL520">
        <f t="shared" si="24"/>
        <v>13.159210470020527</v>
      </c>
      <c r="AM520">
        <f t="shared" si="25"/>
        <v>9.3242156074014482E-2</v>
      </c>
      <c r="AN520">
        <f t="shared" si="26"/>
        <v>7.7393403057119864E-2</v>
      </c>
    </row>
    <row r="521" spans="1:40" x14ac:dyDescent="0.2">
      <c r="A521" t="s">
        <v>111</v>
      </c>
      <c r="B521">
        <v>2020</v>
      </c>
      <c r="C521">
        <v>107.1424465724764</v>
      </c>
      <c r="D521">
        <v>46.222013469993051</v>
      </c>
      <c r="E521">
        <v>9.0079141546602202</v>
      </c>
      <c r="F521">
        <v>1.880412344044841</v>
      </c>
      <c r="G521">
        <v>9.155719491746714</v>
      </c>
      <c r="H521">
        <v>3.0217980026572122</v>
      </c>
      <c r="I521">
        <v>0.1067482990069123</v>
      </c>
      <c r="J521">
        <v>0.2882788</v>
      </c>
      <c r="K521">
        <v>0.34200000000000003</v>
      </c>
      <c r="L521">
        <v>16.600000000000001</v>
      </c>
      <c r="M521">
        <v>0.1478532338308457</v>
      </c>
      <c r="N521">
        <v>138</v>
      </c>
      <c r="O521">
        <v>4</v>
      </c>
      <c r="P521">
        <v>31.347885152</v>
      </c>
      <c r="Q521">
        <v>44.295941407000001</v>
      </c>
      <c r="R521">
        <v>21.042532483999999</v>
      </c>
      <c r="S521">
        <v>3.1590417890000002</v>
      </c>
      <c r="T521">
        <v>0.1545991679999901</v>
      </c>
      <c r="U521" t="s">
        <v>130</v>
      </c>
      <c r="V521">
        <v>2559.1407730142018</v>
      </c>
      <c r="W521">
        <v>35.549763514306001</v>
      </c>
      <c r="AK521" t="s">
        <v>135</v>
      </c>
      <c r="AL521">
        <f t="shared" si="24"/>
        <v>13.065831456680003</v>
      </c>
      <c r="AM521">
        <f t="shared" si="25"/>
        <v>8.6450030656039206E-2</v>
      </c>
      <c r="AN521">
        <f t="shared" si="26"/>
        <v>8.4074187614960105E-2</v>
      </c>
    </row>
    <row r="522" spans="1:40" x14ac:dyDescent="0.2">
      <c r="A522" t="s">
        <v>111</v>
      </c>
      <c r="B522">
        <v>2017</v>
      </c>
      <c r="C522">
        <v>103.5228014755681</v>
      </c>
      <c r="D522">
        <v>55.06273753644215</v>
      </c>
      <c r="E522">
        <v>8.7954732846601935</v>
      </c>
      <c r="F522">
        <v>2.1604336402983182</v>
      </c>
      <c r="G522">
        <v>8.3504401377822628</v>
      </c>
      <c r="H522">
        <v>3.8758341337187052</v>
      </c>
      <c r="I522">
        <v>4.8549070568501503E-2</v>
      </c>
      <c r="J522">
        <v>0.24220169999999999</v>
      </c>
      <c r="K522">
        <v>0.34</v>
      </c>
      <c r="L522">
        <v>18.399999999999999</v>
      </c>
      <c r="M522">
        <v>0.17569052397169271</v>
      </c>
      <c r="N522">
        <v>138</v>
      </c>
      <c r="O522">
        <v>4</v>
      </c>
      <c r="P522">
        <v>31.476801612999999</v>
      </c>
      <c r="Q522">
        <v>44.569714195000003</v>
      </c>
      <c r="R522">
        <v>20.538086112999999</v>
      </c>
      <c r="S522">
        <v>3.3337673680000002</v>
      </c>
      <c r="T522">
        <v>8.163071100000252E-2</v>
      </c>
      <c r="U522" t="s">
        <v>130</v>
      </c>
      <c r="V522">
        <v>2580.8688516367979</v>
      </c>
      <c r="W522">
        <v>36.431287925168277</v>
      </c>
      <c r="AK522" t="s">
        <v>135</v>
      </c>
      <c r="AL522">
        <f t="shared" si="24"/>
        <v>13.078076851290001</v>
      </c>
      <c r="AM522">
        <f t="shared" si="25"/>
        <v>8.1131780522119737E-2</v>
      </c>
      <c r="AN522">
        <f t="shared" si="26"/>
        <v>8.4961700797248699E-2</v>
      </c>
    </row>
    <row r="523" spans="1:40" x14ac:dyDescent="0.2">
      <c r="A523" t="s">
        <v>111</v>
      </c>
      <c r="B523">
        <v>2018</v>
      </c>
      <c r="C523">
        <v>96.042861888837535</v>
      </c>
      <c r="D523">
        <v>54.178441204207232</v>
      </c>
      <c r="E523">
        <v>7.0261396764076851</v>
      </c>
      <c r="F523">
        <v>2.44493415329331</v>
      </c>
      <c r="G523">
        <v>8.2689135151248827</v>
      </c>
      <c r="H523">
        <v>4.3212789686114323</v>
      </c>
      <c r="I523">
        <v>4.0613524141084802E-2</v>
      </c>
      <c r="J523">
        <v>0.26015519999999998</v>
      </c>
      <c r="K523">
        <v>0.34200000000000003</v>
      </c>
      <c r="L523">
        <v>17.8</v>
      </c>
      <c r="M523">
        <v>0.16591723784521409</v>
      </c>
      <c r="N523">
        <v>139</v>
      </c>
      <c r="O523">
        <v>4</v>
      </c>
      <c r="P523">
        <v>30.552470370000002</v>
      </c>
      <c r="Q523">
        <v>46.156957828000003</v>
      </c>
      <c r="R523">
        <v>19.891942587999999</v>
      </c>
      <c r="S523">
        <v>3.2487825209999999</v>
      </c>
      <c r="T523">
        <v>0.1498466929999864</v>
      </c>
      <c r="U523" t="s">
        <v>130</v>
      </c>
      <c r="V523">
        <v>2497.0261038923641</v>
      </c>
      <c r="W523">
        <v>34.470348386088808</v>
      </c>
      <c r="AK523" t="s">
        <v>135</v>
      </c>
      <c r="AL523">
        <f t="shared" si="24"/>
        <v>13.069773052429998</v>
      </c>
      <c r="AM523">
        <f t="shared" si="25"/>
        <v>8.651894451962111E-2</v>
      </c>
      <c r="AN523">
        <f t="shared" si="26"/>
        <v>7.3156292286874161E-2</v>
      </c>
    </row>
    <row r="524" spans="1:40" x14ac:dyDescent="0.2">
      <c r="A524" t="s">
        <v>111</v>
      </c>
      <c r="B524">
        <v>2022</v>
      </c>
      <c r="C524">
        <v>107.52524689418441</v>
      </c>
      <c r="D524">
        <v>47.410778540224413</v>
      </c>
      <c r="E524">
        <v>7.5343692246356984</v>
      </c>
      <c r="F524">
        <v>1.917378715238008</v>
      </c>
      <c r="G524">
        <v>7.9651459403940166</v>
      </c>
      <c r="H524">
        <v>2.762038942215105</v>
      </c>
      <c r="I524">
        <v>0.18582524993496111</v>
      </c>
      <c r="J524">
        <v>0.42553089999999999</v>
      </c>
      <c r="K524">
        <v>0.34799999999999998</v>
      </c>
      <c r="L524">
        <v>13.9</v>
      </c>
      <c r="M524">
        <v>0.1359843839217236</v>
      </c>
      <c r="N524">
        <v>139</v>
      </c>
      <c r="O524">
        <v>4</v>
      </c>
      <c r="P524">
        <v>27.012324709222931</v>
      </c>
      <c r="Q524">
        <v>43.247587292579517</v>
      </c>
      <c r="R524">
        <v>25.57628681125902</v>
      </c>
      <c r="S524">
        <v>4.0734286727944138</v>
      </c>
      <c r="T524">
        <v>9.0372514144121396E-2</v>
      </c>
      <c r="U524" t="s">
        <v>130</v>
      </c>
      <c r="V524">
        <v>794.33251343949416</v>
      </c>
      <c r="W524">
        <v>40.524554230914291</v>
      </c>
      <c r="AK524" t="s">
        <v>135</v>
      </c>
      <c r="AL524">
        <f t="shared" si="24"/>
        <v>12.857650084774532</v>
      </c>
      <c r="AM524">
        <f t="shared" si="25"/>
        <v>7.5805184603299242E-2</v>
      </c>
      <c r="AN524">
        <f t="shared" si="26"/>
        <v>7.0070699135899417E-2</v>
      </c>
    </row>
    <row r="525" spans="1:40" x14ac:dyDescent="0.2">
      <c r="A525" t="s">
        <v>111</v>
      </c>
      <c r="B525">
        <v>2016</v>
      </c>
      <c r="C525">
        <v>111.88489990522621</v>
      </c>
      <c r="D525">
        <v>56.57319743690099</v>
      </c>
      <c r="E525">
        <v>4.9408552935886947</v>
      </c>
      <c r="F525">
        <v>2.142924145337159</v>
      </c>
      <c r="G525">
        <v>7.9166895784342586</v>
      </c>
      <c r="H525">
        <v>3.9219555112774418</v>
      </c>
      <c r="I525">
        <v>0.15364361796756981</v>
      </c>
      <c r="J525">
        <v>0.23183129999999999</v>
      </c>
      <c r="K525">
        <v>0.34499999999999997</v>
      </c>
      <c r="L525">
        <v>18.8</v>
      </c>
      <c r="M525">
        <v>0.18416724915596691</v>
      </c>
      <c r="N525">
        <v>132</v>
      </c>
      <c r="O525">
        <v>5</v>
      </c>
      <c r="P525">
        <v>29.235462510000001</v>
      </c>
      <c r="Q525">
        <v>45.867310861</v>
      </c>
      <c r="R525">
        <v>21.713351946</v>
      </c>
      <c r="S525">
        <v>3.1348602460000001</v>
      </c>
      <c r="T525">
        <v>4.9014436999996747E-2</v>
      </c>
      <c r="U525" t="s">
        <v>130</v>
      </c>
      <c r="AK525" t="s">
        <v>135</v>
      </c>
      <c r="AL525">
        <f t="shared" si="24"/>
        <v>13.020636502109999</v>
      </c>
      <c r="AM525">
        <f t="shared" si="25"/>
        <v>7.2130673605088139E-2</v>
      </c>
      <c r="AN525">
        <f t="shared" si="26"/>
        <v>4.4160161896501855E-2</v>
      </c>
    </row>
    <row r="526" spans="1:40" x14ac:dyDescent="0.2">
      <c r="A526" t="s">
        <v>111</v>
      </c>
      <c r="B526">
        <v>2021</v>
      </c>
      <c r="C526">
        <v>104.0422229121391</v>
      </c>
      <c r="D526">
        <v>46.006416226844657</v>
      </c>
      <c r="E526">
        <v>5.2985615233364394</v>
      </c>
      <c r="F526">
        <v>1.854496533167753</v>
      </c>
      <c r="G526">
        <v>7.6829142088378353</v>
      </c>
      <c r="H526">
        <v>2.9473248473558931</v>
      </c>
      <c r="I526">
        <v>0.1655800476042637</v>
      </c>
      <c r="J526">
        <v>0.33623570000000003</v>
      </c>
      <c r="K526">
        <v>0.34799999999999998</v>
      </c>
      <c r="L526">
        <v>15.5</v>
      </c>
      <c r="M526">
        <v>0.14069834010726689</v>
      </c>
      <c r="N526">
        <v>137</v>
      </c>
      <c r="O526">
        <v>4</v>
      </c>
      <c r="P526">
        <v>31.3368677420228</v>
      </c>
      <c r="Q526">
        <v>44.947431082766059</v>
      </c>
      <c r="R526">
        <v>19.863768252196699</v>
      </c>
      <c r="S526">
        <v>3.6811132450051178</v>
      </c>
      <c r="T526">
        <v>0.170819678009309</v>
      </c>
      <c r="U526" t="s">
        <v>130</v>
      </c>
      <c r="V526">
        <v>774.11054289057017</v>
      </c>
      <c r="W526">
        <v>38.068966153647658</v>
      </c>
      <c r="AK526" t="s">
        <v>135</v>
      </c>
      <c r="AL526">
        <f t="shared" si="24"/>
        <v>13.066843688975478</v>
      </c>
      <c r="AM526">
        <f t="shared" si="25"/>
        <v>7.5435664836476485E-2</v>
      </c>
      <c r="AN526">
        <f t="shared" si="26"/>
        <v>5.092703111323308E-2</v>
      </c>
    </row>
    <row r="527" spans="1:40" x14ac:dyDescent="0.2">
      <c r="A527" t="s">
        <v>112</v>
      </c>
      <c r="B527">
        <v>2021</v>
      </c>
      <c r="C527">
        <v>158.29749429604061</v>
      </c>
      <c r="D527">
        <v>101.5607648353423</v>
      </c>
      <c r="E527">
        <v>4.240111454358229</v>
      </c>
      <c r="F527">
        <v>3.2305611080824601</v>
      </c>
      <c r="G527">
        <v>11.508873947543769</v>
      </c>
      <c r="H527">
        <v>4.240111454358229</v>
      </c>
      <c r="I527">
        <v>0.2019100692551537</v>
      </c>
      <c r="J527">
        <v>2.9327939999999999</v>
      </c>
      <c r="K527">
        <v>0.41499999999999998</v>
      </c>
      <c r="L527">
        <v>7</v>
      </c>
      <c r="M527">
        <v>0.16417628144505389</v>
      </c>
      <c r="N527">
        <v>22</v>
      </c>
      <c r="O527">
        <v>0</v>
      </c>
      <c r="P527">
        <v>36.229343920963252</v>
      </c>
      <c r="Q527">
        <v>53.841296093256346</v>
      </c>
      <c r="R527">
        <v>9.7013812609784633</v>
      </c>
      <c r="S527">
        <v>0.2134495544721921</v>
      </c>
      <c r="T527">
        <v>1.452917032973744E-2</v>
      </c>
      <c r="U527" t="s">
        <v>112</v>
      </c>
      <c r="V527">
        <v>680.43582246474841</v>
      </c>
      <c r="W527">
        <v>38.622672143020203</v>
      </c>
      <c r="AK527" t="s">
        <v>133</v>
      </c>
      <c r="AL527">
        <f t="shared" si="24"/>
        <v>13.520713645691133</v>
      </c>
      <c r="AM527">
        <f t="shared" si="25"/>
        <v>7.3979591836734693E-2</v>
      </c>
      <c r="AN527">
        <f t="shared" si="26"/>
        <v>2.6785714285714274E-2</v>
      </c>
    </row>
    <row r="528" spans="1:40" x14ac:dyDescent="0.2">
      <c r="A528" t="s">
        <v>112</v>
      </c>
      <c r="B528">
        <v>2022</v>
      </c>
      <c r="C528">
        <v>178.05702834717991</v>
      </c>
      <c r="D528">
        <v>106.24973907235</v>
      </c>
      <c r="E528">
        <v>6.6797478395190577</v>
      </c>
      <c r="F528">
        <v>4.3835845196843817</v>
      </c>
      <c r="G528">
        <v>10.6458481192335</v>
      </c>
      <c r="H528">
        <v>6.6797478395190577</v>
      </c>
      <c r="I528">
        <v>0.2087421199849705</v>
      </c>
      <c r="J528">
        <v>2.9461715000000002</v>
      </c>
      <c r="K528">
        <v>0.438</v>
      </c>
      <c r="L528">
        <v>5.2</v>
      </c>
      <c r="M528">
        <v>0.1623387467123116</v>
      </c>
      <c r="N528">
        <v>24</v>
      </c>
      <c r="O528">
        <v>0</v>
      </c>
      <c r="P528">
        <v>27.75668235779121</v>
      </c>
      <c r="Q528">
        <v>65.239994884614831</v>
      </c>
      <c r="R528">
        <v>6.8679571931473129</v>
      </c>
      <c r="S528">
        <v>8.27840107754928E-2</v>
      </c>
      <c r="T528">
        <v>5.2581553671146253E-2</v>
      </c>
      <c r="U528" t="s">
        <v>112</v>
      </c>
      <c r="V528">
        <v>708.98804544469635</v>
      </c>
      <c r="W528">
        <v>40.702961997401367</v>
      </c>
      <c r="AK528" t="s">
        <v>133</v>
      </c>
      <c r="AL528">
        <f t="shared" si="24"/>
        <v>13.409730803031454</v>
      </c>
      <c r="AM528">
        <f t="shared" si="25"/>
        <v>6.0961313012895667E-2</v>
      </c>
      <c r="AN528">
        <f t="shared" si="26"/>
        <v>3.7514654161781943E-2</v>
      </c>
    </row>
    <row r="529" spans="1:40" x14ac:dyDescent="0.2">
      <c r="A529" t="s">
        <v>112</v>
      </c>
      <c r="B529">
        <v>2020</v>
      </c>
      <c r="C529">
        <v>156.29971364937961</v>
      </c>
      <c r="D529">
        <v>106.5860642698059</v>
      </c>
      <c r="E529">
        <v>4.7725103404390712</v>
      </c>
      <c r="F529">
        <v>4.573655742920776</v>
      </c>
      <c r="G529">
        <v>10.340439070951319</v>
      </c>
      <c r="H529">
        <v>5.1702195354756597</v>
      </c>
      <c r="I529">
        <v>0.39770919503658919</v>
      </c>
      <c r="J529">
        <v>2.4955137000000001</v>
      </c>
      <c r="K529">
        <v>0.41199999999999998</v>
      </c>
      <c r="L529">
        <v>7.7</v>
      </c>
      <c r="M529">
        <v>0.1644112134132526</v>
      </c>
      <c r="N529">
        <v>22</v>
      </c>
      <c r="O529">
        <v>0</v>
      </c>
      <c r="P529">
        <v>36.937871338000001</v>
      </c>
      <c r="Q529">
        <v>54.704223261000003</v>
      </c>
      <c r="R529">
        <v>8.0340568579999996</v>
      </c>
      <c r="S529">
        <v>0.25448704999999999</v>
      </c>
      <c r="T529">
        <v>6.9361493000002383E-2</v>
      </c>
      <c r="U529" t="s">
        <v>112</v>
      </c>
      <c r="V529">
        <v>2014.2025689080219</v>
      </c>
      <c r="W529">
        <v>41.205319633679927</v>
      </c>
      <c r="AK529" t="s">
        <v>133</v>
      </c>
      <c r="AL529">
        <f t="shared" si="24"/>
        <v>13.561654273230001</v>
      </c>
      <c r="AM529">
        <f t="shared" si="25"/>
        <v>6.8702290076335853E-2</v>
      </c>
      <c r="AN529">
        <f t="shared" si="26"/>
        <v>3.0534351145038163E-2</v>
      </c>
    </row>
    <row r="530" spans="1:40" x14ac:dyDescent="0.2">
      <c r="A530" t="s">
        <v>112</v>
      </c>
      <c r="B530">
        <v>2019</v>
      </c>
      <c r="C530">
        <v>156.05178905825261</v>
      </c>
      <c r="D530">
        <v>113.1627167106296</v>
      </c>
      <c r="E530">
        <v>6.040714415158166</v>
      </c>
      <c r="F530">
        <v>3.8257857962668389</v>
      </c>
      <c r="G530">
        <v>8.6583573283933717</v>
      </c>
      <c r="H530">
        <v>4.0271429434387773</v>
      </c>
      <c r="I530">
        <v>0</v>
      </c>
      <c r="J530">
        <v>1.9657937000000001</v>
      </c>
      <c r="K530">
        <v>0.41199999999999998</v>
      </c>
      <c r="L530">
        <v>8.1999999999999993</v>
      </c>
      <c r="M530">
        <v>0.16834379807892219</v>
      </c>
      <c r="N530">
        <v>13</v>
      </c>
      <c r="O530">
        <v>0</v>
      </c>
      <c r="P530">
        <v>35.212562683959113</v>
      </c>
      <c r="Q530">
        <v>48.085207386085592</v>
      </c>
      <c r="R530">
        <v>15.63459657655714</v>
      </c>
      <c r="S530">
        <v>0.86048172742006557</v>
      </c>
      <c r="T530">
        <v>0.20715162597809919</v>
      </c>
      <c r="U530" t="s">
        <v>112</v>
      </c>
      <c r="V530">
        <v>2202.7124237930789</v>
      </c>
      <c r="W530">
        <v>41.236758548865282</v>
      </c>
      <c r="AK530" t="s">
        <v>133</v>
      </c>
      <c r="AL530">
        <f t="shared" ref="AL530:AL547" si="27">(15*P530+13*Q530+11*R530+9*S530+4*T530)/100</f>
        <v>13.33849640671321</v>
      </c>
      <c r="AM530">
        <f t="shared" ref="AM530:AM547" si="28">(G530+I530)/C530</f>
        <v>5.548387096774194E-2</v>
      </c>
      <c r="AN530">
        <f t="shared" ref="AN530:AN547" si="29">E530/C530</f>
        <v>3.870967741935484E-2</v>
      </c>
    </row>
    <row r="531" spans="1:40" x14ac:dyDescent="0.2">
      <c r="A531" t="s">
        <v>112</v>
      </c>
      <c r="B531">
        <v>2018</v>
      </c>
      <c r="C531">
        <v>151.57655832049929</v>
      </c>
      <c r="D531">
        <v>109.0216422144768</v>
      </c>
      <c r="E531">
        <v>5.4713463564886116</v>
      </c>
      <c r="F531">
        <v>3.4449217800113479</v>
      </c>
      <c r="G531">
        <v>6.8898435600226957</v>
      </c>
      <c r="H531">
        <v>3.6475642376590738</v>
      </c>
      <c r="I531">
        <v>0</v>
      </c>
      <c r="J531">
        <v>1.7363061</v>
      </c>
      <c r="K531">
        <v>0.40899999999999997</v>
      </c>
      <c r="L531">
        <v>8.5</v>
      </c>
      <c r="M531">
        <v>0.17215010522367841</v>
      </c>
      <c r="N531">
        <v>18</v>
      </c>
      <c r="O531">
        <v>0</v>
      </c>
      <c r="P531">
        <v>34.671142852000003</v>
      </c>
      <c r="Q531">
        <v>43.785522868000001</v>
      </c>
      <c r="R531">
        <v>19.236652287999998</v>
      </c>
      <c r="S531">
        <v>2.1350137509999998</v>
      </c>
      <c r="T531">
        <v>0.17166824099999189</v>
      </c>
      <c r="U531" t="s">
        <v>112</v>
      </c>
      <c r="V531">
        <v>2569.13444923098</v>
      </c>
      <c r="W531">
        <v>47.438196947960662</v>
      </c>
      <c r="AK531" t="s">
        <v>133</v>
      </c>
      <c r="AL531">
        <f t="shared" si="27"/>
        <v>13.207839119549998</v>
      </c>
      <c r="AM531">
        <f t="shared" si="28"/>
        <v>4.5454545454545463E-2</v>
      </c>
      <c r="AN531">
        <f t="shared" si="29"/>
        <v>3.6096256684491984E-2</v>
      </c>
    </row>
    <row r="532" spans="1:40" x14ac:dyDescent="0.2">
      <c r="A532" t="s">
        <v>112</v>
      </c>
      <c r="B532">
        <v>2016</v>
      </c>
      <c r="C532">
        <v>159.49917259804221</v>
      </c>
      <c r="D532">
        <v>102.8769663257372</v>
      </c>
      <c r="E532">
        <v>6.7787148354167917</v>
      </c>
      <c r="F532">
        <v>2.7912355204657371</v>
      </c>
      <c r="G532">
        <v>6.579340869669239</v>
      </c>
      <c r="H532">
        <v>3.588731383455948</v>
      </c>
      <c r="I532">
        <v>0</v>
      </c>
      <c r="J532">
        <v>1.4758633999999999</v>
      </c>
      <c r="K532">
        <v>0.41199999999999998</v>
      </c>
      <c r="L532">
        <v>8.4</v>
      </c>
      <c r="M532">
        <v>0.1842346098309979</v>
      </c>
      <c r="N532">
        <v>18</v>
      </c>
      <c r="O532">
        <v>0</v>
      </c>
      <c r="P532">
        <v>28.235931741000002</v>
      </c>
      <c r="Q532">
        <v>35.369096073000001</v>
      </c>
      <c r="R532">
        <v>29.953533639</v>
      </c>
      <c r="S532">
        <v>6.1021084410000004</v>
      </c>
      <c r="T532">
        <v>0.33933010599999142</v>
      </c>
      <c r="U532" t="s">
        <v>112</v>
      </c>
      <c r="AK532" t="s">
        <v>133</v>
      </c>
      <c r="AL532">
        <f t="shared" si="27"/>
        <v>12.691023914860001</v>
      </c>
      <c r="AM532">
        <f t="shared" si="28"/>
        <v>4.1249999999999988E-2</v>
      </c>
      <c r="AN532">
        <f t="shared" si="29"/>
        <v>4.2499999999999989E-2</v>
      </c>
    </row>
    <row r="533" spans="1:40" x14ac:dyDescent="0.2">
      <c r="A533" t="s">
        <v>112</v>
      </c>
      <c r="B533">
        <v>2017</v>
      </c>
      <c r="C533">
        <v>142.90875516839949</v>
      </c>
      <c r="D533">
        <v>111.5972863393682</v>
      </c>
      <c r="E533">
        <v>4.6164345068443664</v>
      </c>
      <c r="F533">
        <v>4.8171490506202082</v>
      </c>
      <c r="G533">
        <v>6.4228654008269448</v>
      </c>
      <c r="H533">
        <v>4.4157199630685238</v>
      </c>
      <c r="I533">
        <v>0</v>
      </c>
      <c r="J533">
        <v>1.5083378999999999</v>
      </c>
      <c r="K533">
        <v>0.40300000000000002</v>
      </c>
      <c r="L533">
        <v>8.3000000000000007</v>
      </c>
      <c r="M533">
        <v>0.17851341626400741</v>
      </c>
      <c r="N533">
        <v>18</v>
      </c>
      <c r="O533">
        <v>0</v>
      </c>
      <c r="P533">
        <v>33.833105740999997</v>
      </c>
      <c r="Q533">
        <v>39.664558149999998</v>
      </c>
      <c r="R533">
        <v>21.614783467999999</v>
      </c>
      <c r="S533">
        <v>4.4204055359999996</v>
      </c>
      <c r="T533">
        <v>0.46714710499999512</v>
      </c>
      <c r="U533" t="s">
        <v>112</v>
      </c>
      <c r="V533">
        <v>2149.7335178113399</v>
      </c>
      <c r="W533">
        <v>39.827638713285161</v>
      </c>
      <c r="AK533" t="s">
        <v>133</v>
      </c>
      <c r="AL533">
        <f t="shared" si="27"/>
        <v>13.025506984569997</v>
      </c>
      <c r="AM533">
        <f t="shared" si="28"/>
        <v>4.4943820224719107E-2</v>
      </c>
      <c r="AN533">
        <f t="shared" si="29"/>
        <v>3.2303370786516857E-2</v>
      </c>
    </row>
    <row r="534" spans="1:40" x14ac:dyDescent="0.2">
      <c r="A534" t="s">
        <v>113</v>
      </c>
      <c r="B534">
        <v>2017</v>
      </c>
      <c r="C534">
        <v>154.07173597936011</v>
      </c>
      <c r="D534">
        <v>66.915524513617228</v>
      </c>
      <c r="E534">
        <v>11.1930066094704</v>
      </c>
      <c r="F534">
        <v>2.704976597288681</v>
      </c>
      <c r="G534">
        <v>6.8650440538085142</v>
      </c>
      <c r="H534">
        <v>2.1826362888467288</v>
      </c>
      <c r="I534">
        <v>0.42906525336303208</v>
      </c>
      <c r="J534">
        <v>4.7987609000000004</v>
      </c>
      <c r="K534">
        <v>0.435</v>
      </c>
      <c r="L534">
        <v>5.8</v>
      </c>
      <c r="M534">
        <v>0.18684899644472541</v>
      </c>
      <c r="N534">
        <v>40</v>
      </c>
      <c r="O534">
        <v>0</v>
      </c>
      <c r="P534">
        <v>41.304032888999998</v>
      </c>
      <c r="Q534">
        <v>45.199487470000001</v>
      </c>
      <c r="R534">
        <v>12.558575073</v>
      </c>
      <c r="S534">
        <v>0.86223981800000005</v>
      </c>
      <c r="T534">
        <v>7.5664750000001391E-2</v>
      </c>
      <c r="U534" t="s">
        <v>113</v>
      </c>
      <c r="V534">
        <v>2942.547754528327</v>
      </c>
      <c r="W534">
        <v>31.130701932119631</v>
      </c>
      <c r="AK534" t="s">
        <v>137</v>
      </c>
      <c r="AL534">
        <f t="shared" si="27"/>
        <v>13.533609736099999</v>
      </c>
      <c r="AM534">
        <f t="shared" si="28"/>
        <v>4.7342293255842112E-2</v>
      </c>
      <c r="AN534">
        <f t="shared" si="29"/>
        <v>7.2648020341445671E-2</v>
      </c>
    </row>
    <row r="535" spans="1:40" x14ac:dyDescent="0.2">
      <c r="A535" t="s">
        <v>113</v>
      </c>
      <c r="B535">
        <v>2021</v>
      </c>
      <c r="C535">
        <v>127.2554432277289</v>
      </c>
      <c r="D535">
        <v>60.675307581214241</v>
      </c>
      <c r="E535">
        <v>8.0620098352863749</v>
      </c>
      <c r="F535">
        <v>3.180929050657209</v>
      </c>
      <c r="G535">
        <v>6.8371693387689429</v>
      </c>
      <c r="H535">
        <v>3.839052302517322</v>
      </c>
      <c r="I535">
        <v>0.25593682016782138</v>
      </c>
      <c r="J535">
        <v>8.2728663999999998</v>
      </c>
      <c r="K535">
        <v>0.44800000000000001</v>
      </c>
      <c r="L535">
        <v>4.3</v>
      </c>
      <c r="M535">
        <v>0.16021392518515021</v>
      </c>
      <c r="N535">
        <v>39</v>
      </c>
      <c r="O535">
        <v>0</v>
      </c>
      <c r="P535">
        <v>44.390451688949952</v>
      </c>
      <c r="Q535">
        <v>40.144370453093373</v>
      </c>
      <c r="R535">
        <v>12.59468675340077</v>
      </c>
      <c r="S535">
        <v>2.7254577875302282</v>
      </c>
      <c r="T535">
        <v>0.1450333170256641</v>
      </c>
      <c r="U535" t="s">
        <v>113</v>
      </c>
      <c r="V535">
        <v>1277.2694872548541</v>
      </c>
      <c r="W535">
        <v>27.105069423760899</v>
      </c>
      <c r="AK535" t="s">
        <v>137</v>
      </c>
      <c r="AL535">
        <f t="shared" si="27"/>
        <v>13.513843988677461</v>
      </c>
      <c r="AM535">
        <f t="shared" si="28"/>
        <v>5.5739117942824309E-2</v>
      </c>
      <c r="AN535">
        <f t="shared" si="29"/>
        <v>6.3352966527797747E-2</v>
      </c>
    </row>
    <row r="536" spans="1:40" x14ac:dyDescent="0.2">
      <c r="A536" t="s">
        <v>113</v>
      </c>
      <c r="B536">
        <v>2018</v>
      </c>
      <c r="C536">
        <v>143.07014986621411</v>
      </c>
      <c r="D536">
        <v>67.700683505803582</v>
      </c>
      <c r="E536">
        <v>8.5786384475263997</v>
      </c>
      <c r="F536">
        <v>2.5438819638768759</v>
      </c>
      <c r="G536">
        <v>6.2390097800191997</v>
      </c>
      <c r="H536">
        <v>2.4510395564361138</v>
      </c>
      <c r="I536">
        <v>0.31566418529859042</v>
      </c>
      <c r="J536">
        <v>5.9723949000000003</v>
      </c>
      <c r="K536">
        <v>0.442</v>
      </c>
      <c r="L536">
        <v>5.5</v>
      </c>
      <c r="M536">
        <v>0.17915656051952111</v>
      </c>
      <c r="N536">
        <v>41</v>
      </c>
      <c r="O536">
        <v>0</v>
      </c>
      <c r="P536">
        <v>45.364157247000001</v>
      </c>
      <c r="Q536">
        <v>42.259659330000012</v>
      </c>
      <c r="R536">
        <v>9.7227865270000002</v>
      </c>
      <c r="S536">
        <v>2.2444290480000002</v>
      </c>
      <c r="T536">
        <v>0.40896784799998898</v>
      </c>
      <c r="U536" t="s">
        <v>113</v>
      </c>
      <c r="V536">
        <v>3066.0333205509191</v>
      </c>
      <c r="W536">
        <v>34.055039525422018</v>
      </c>
      <c r="AK536" t="s">
        <v>137</v>
      </c>
      <c r="AL536">
        <f t="shared" si="27"/>
        <v>13.586243146160003</v>
      </c>
      <c r="AM536">
        <f t="shared" si="28"/>
        <v>4.5814406229720953E-2</v>
      </c>
      <c r="AN536">
        <f t="shared" si="29"/>
        <v>5.9961064243997393E-2</v>
      </c>
    </row>
    <row r="537" spans="1:40" x14ac:dyDescent="0.2">
      <c r="A537" t="s">
        <v>113</v>
      </c>
      <c r="B537">
        <v>2016</v>
      </c>
      <c r="C537">
        <v>149.78356275182361</v>
      </c>
      <c r="D537">
        <v>78.861045788835142</v>
      </c>
      <c r="E537">
        <v>9.2678579452690837</v>
      </c>
      <c r="F537">
        <v>3.463744888635921</v>
      </c>
      <c r="G537">
        <v>6.2347407995446584</v>
      </c>
      <c r="H537">
        <v>2.5275976214370242</v>
      </c>
      <c r="I537">
        <v>0.31829007084762517</v>
      </c>
      <c r="J537">
        <v>3.9506472000000001</v>
      </c>
      <c r="K537">
        <v>0.438</v>
      </c>
      <c r="L537">
        <v>6.8</v>
      </c>
      <c r="M537">
        <v>0.19535764561313451</v>
      </c>
      <c r="N537">
        <v>40</v>
      </c>
      <c r="O537">
        <v>0</v>
      </c>
      <c r="P537">
        <v>40.797785730999998</v>
      </c>
      <c r="Q537">
        <v>43.047432788999998</v>
      </c>
      <c r="R537">
        <v>13.821845616999999</v>
      </c>
      <c r="S537">
        <v>2.1727462360000001</v>
      </c>
      <c r="T537">
        <v>0.1601896270000083</v>
      </c>
      <c r="U537" t="s">
        <v>113</v>
      </c>
      <c r="AK537" t="s">
        <v>137</v>
      </c>
      <c r="AL537">
        <f t="shared" si="27"/>
        <v>13.438191886409999</v>
      </c>
      <c r="AM537">
        <f t="shared" si="28"/>
        <v>4.3750000000000004E-2</v>
      </c>
      <c r="AN537">
        <f t="shared" si="29"/>
        <v>6.1874999999999986E-2</v>
      </c>
    </row>
    <row r="538" spans="1:40" x14ac:dyDescent="0.2">
      <c r="A538" t="s">
        <v>113</v>
      </c>
      <c r="B538">
        <v>2022</v>
      </c>
      <c r="C538">
        <v>130.2117971066653</v>
      </c>
      <c r="D538">
        <v>63.472627551619183</v>
      </c>
      <c r="E538">
        <v>14.846140003599061</v>
      </c>
      <c r="F538">
        <v>4.2249884595222644</v>
      </c>
      <c r="G538">
        <v>5.7115584730578748</v>
      </c>
      <c r="H538">
        <v>3.22742173991284</v>
      </c>
      <c r="I538">
        <v>0.35208237162685518</v>
      </c>
      <c r="J538">
        <v>10.453480000000001</v>
      </c>
      <c r="K538">
        <v>0.45200000000000001</v>
      </c>
      <c r="L538">
        <v>4</v>
      </c>
      <c r="M538">
        <v>0.15680966426989851</v>
      </c>
      <c r="N538">
        <v>37</v>
      </c>
      <c r="O538">
        <v>0</v>
      </c>
      <c r="P538">
        <v>40.31251451137932</v>
      </c>
      <c r="Q538">
        <v>45.876751386202912</v>
      </c>
      <c r="R538">
        <v>9.7024853451615272</v>
      </c>
      <c r="S538">
        <v>3.8460861433400049</v>
      </c>
      <c r="T538">
        <v>0.26216261391623158</v>
      </c>
      <c r="U538" t="s">
        <v>113</v>
      </c>
      <c r="V538">
        <v>1339.1211760396959</v>
      </c>
      <c r="W538">
        <v>32.755803153192737</v>
      </c>
      <c r="AK538" t="s">
        <v>137</v>
      </c>
      <c r="AL538">
        <f t="shared" si="27"/>
        <v>13.434762502338296</v>
      </c>
      <c r="AM538">
        <f t="shared" si="28"/>
        <v>4.6567522908216918E-2</v>
      </c>
      <c r="AN538">
        <f t="shared" si="29"/>
        <v>0.11401532221721494</v>
      </c>
    </row>
    <row r="539" spans="1:40" x14ac:dyDescent="0.2">
      <c r="A539" t="s">
        <v>113</v>
      </c>
      <c r="B539">
        <v>2019</v>
      </c>
      <c r="C539">
        <v>139.10050066576909</v>
      </c>
      <c r="D539">
        <v>65.561175964349488</v>
      </c>
      <c r="E539">
        <v>8.1997639797665283</v>
      </c>
      <c r="F539">
        <v>2.880998155053105</v>
      </c>
      <c r="G539">
        <v>5.060214708234299</v>
      </c>
      <c r="H539">
        <v>2.3454279852034889</v>
      </c>
      <c r="I539">
        <v>0.2216152426963926</v>
      </c>
      <c r="J539">
        <v>6.1893257999999998</v>
      </c>
      <c r="K539">
        <v>0.44500000000000001</v>
      </c>
      <c r="L539">
        <v>5.2</v>
      </c>
      <c r="M539">
        <v>0.17072607144395749</v>
      </c>
      <c r="N539">
        <v>33</v>
      </c>
      <c r="O539">
        <v>0</v>
      </c>
      <c r="P539">
        <v>45.950526693396981</v>
      </c>
      <c r="Q539">
        <v>38.017401928248049</v>
      </c>
      <c r="R539">
        <v>14.884591854832371</v>
      </c>
      <c r="S539">
        <v>1.026965733411787</v>
      </c>
      <c r="T539">
        <v>0.1205137901108202</v>
      </c>
      <c r="U539" t="s">
        <v>113</v>
      </c>
      <c r="V539">
        <v>2793.1172701328301</v>
      </c>
      <c r="W539">
        <v>24.984769416059152</v>
      </c>
      <c r="AK539" t="s">
        <v>137</v>
      </c>
      <c r="AL539">
        <f t="shared" si="27"/>
        <v>13.569393826324847</v>
      </c>
      <c r="AM539">
        <f t="shared" si="28"/>
        <v>3.7971322357939465E-2</v>
      </c>
      <c r="AN539">
        <f t="shared" si="29"/>
        <v>5.8948486457780155E-2</v>
      </c>
    </row>
    <row r="540" spans="1:40" x14ac:dyDescent="0.2">
      <c r="A540" t="s">
        <v>113</v>
      </c>
      <c r="B540">
        <v>2020</v>
      </c>
      <c r="C540">
        <v>140.1429715452829</v>
      </c>
      <c r="D540">
        <v>64.469440383216636</v>
      </c>
      <c r="E540">
        <v>8.0081698025875934</v>
      </c>
      <c r="F540">
        <v>2.883675823408836</v>
      </c>
      <c r="G540">
        <v>4.4449015876747664</v>
      </c>
      <c r="H540">
        <v>2.5897980324881891</v>
      </c>
      <c r="I540">
        <v>0.27551042898810529</v>
      </c>
      <c r="J540">
        <v>5.4330878</v>
      </c>
      <c r="K540">
        <v>0.44500000000000001</v>
      </c>
      <c r="L540">
        <v>4.5</v>
      </c>
      <c r="M540">
        <v>0.16459570096536141</v>
      </c>
      <c r="N540">
        <v>39</v>
      </c>
      <c r="O540">
        <v>0</v>
      </c>
      <c r="P540">
        <v>43.817536140000001</v>
      </c>
      <c r="Q540">
        <v>36.008397315000003</v>
      </c>
      <c r="R540">
        <v>18.705198620000001</v>
      </c>
      <c r="S540">
        <v>1.1551909600000001</v>
      </c>
      <c r="T540">
        <v>0.31367696499998488</v>
      </c>
      <c r="U540" t="s">
        <v>113</v>
      </c>
      <c r="V540">
        <v>2749.49895700975</v>
      </c>
      <c r="W540">
        <v>29.169574064893101</v>
      </c>
      <c r="AK540" t="s">
        <v>137</v>
      </c>
      <c r="AL540">
        <f t="shared" si="27"/>
        <v>13.427808185150003</v>
      </c>
      <c r="AM540">
        <f t="shared" si="28"/>
        <v>3.3682830930537359E-2</v>
      </c>
      <c r="AN540">
        <f t="shared" si="29"/>
        <v>5.7142857142857134E-2</v>
      </c>
    </row>
    <row r="541" spans="1:40" x14ac:dyDescent="0.2">
      <c r="A541" t="s">
        <v>114</v>
      </c>
      <c r="B541">
        <v>2022</v>
      </c>
      <c r="C541">
        <v>152.35099785424629</v>
      </c>
      <c r="D541">
        <v>49.907227465646791</v>
      </c>
      <c r="E541">
        <v>6.0051242621120622</v>
      </c>
      <c r="F541">
        <v>2.9859733900004728</v>
      </c>
      <c r="G541">
        <v>6.3368990832232246</v>
      </c>
      <c r="H541">
        <v>1.899410850861412</v>
      </c>
      <c r="I541">
        <v>0.2405367453055936</v>
      </c>
      <c r="J541">
        <v>0.62352509999999994</v>
      </c>
      <c r="K541">
        <v>0.36299999999999999</v>
      </c>
      <c r="L541">
        <v>8.1</v>
      </c>
      <c r="M541">
        <v>0.13520487509922141</v>
      </c>
      <c r="N541">
        <v>173</v>
      </c>
      <c r="O541">
        <v>8</v>
      </c>
      <c r="P541">
        <v>30.028981880990269</v>
      </c>
      <c r="Q541">
        <v>51.47382189641899</v>
      </c>
      <c r="R541">
        <v>13.275323732783789</v>
      </c>
      <c r="S541">
        <v>4.9268766690868651</v>
      </c>
      <c r="T541">
        <v>0.29499582072008929</v>
      </c>
      <c r="U541" t="s">
        <v>114</v>
      </c>
      <c r="V541">
        <v>961.14656304415973</v>
      </c>
      <c r="W541">
        <v>34.949043879674363</v>
      </c>
      <c r="X541">
        <v>11.66</v>
      </c>
      <c r="AA541">
        <v>4.8</v>
      </c>
      <c r="AD541">
        <v>761.65</v>
      </c>
      <c r="AF541">
        <v>69.040000000000006</v>
      </c>
      <c r="AH541">
        <v>5.04</v>
      </c>
      <c r="AI541">
        <v>15.42</v>
      </c>
      <c r="AK541" t="s">
        <v>136</v>
      </c>
      <c r="AL541">
        <f t="shared" si="27"/>
        <v>13.111448472335848</v>
      </c>
      <c r="AM541">
        <f t="shared" si="28"/>
        <v>4.3172909407665515E-2</v>
      </c>
      <c r="AN541">
        <f t="shared" si="29"/>
        <v>3.9416376306620225E-2</v>
      </c>
    </row>
    <row r="542" spans="1:40" x14ac:dyDescent="0.2">
      <c r="A542" t="s">
        <v>114</v>
      </c>
      <c r="B542">
        <v>2019</v>
      </c>
      <c r="C542">
        <v>140.59091212214551</v>
      </c>
      <c r="D542">
        <v>49.054788299889182</v>
      </c>
      <c r="E542">
        <v>7.0894846984627016</v>
      </c>
      <c r="F542">
        <v>2.0879445416525089</v>
      </c>
      <c r="G542">
        <v>5.7557406566466502</v>
      </c>
      <c r="H542">
        <v>2.476953220515524</v>
      </c>
      <c r="I542">
        <v>0.2064127683762936</v>
      </c>
      <c r="J542">
        <v>0.49136279999999999</v>
      </c>
      <c r="K542">
        <v>0.35899999999999999</v>
      </c>
      <c r="L542">
        <v>10.199999999999999</v>
      </c>
      <c r="M542">
        <v>0.14848679994951039</v>
      </c>
      <c r="N542">
        <v>131</v>
      </c>
      <c r="O542">
        <v>8</v>
      </c>
      <c r="P542">
        <v>27.755442164892148</v>
      </c>
      <c r="Q542">
        <v>52.024275841483622</v>
      </c>
      <c r="R542">
        <v>15.15327587490963</v>
      </c>
      <c r="S542">
        <v>4.7978120092255869</v>
      </c>
      <c r="T542">
        <v>0.26919410948902112</v>
      </c>
      <c r="U542" t="s">
        <v>114</v>
      </c>
      <c r="V542">
        <v>2988.503585032362</v>
      </c>
      <c r="W542">
        <v>30.336838672832322</v>
      </c>
      <c r="X542">
        <v>11.76</v>
      </c>
      <c r="AA542">
        <v>5.21</v>
      </c>
      <c r="AD542">
        <v>762.03</v>
      </c>
      <c r="AF542">
        <v>69.709999999999994</v>
      </c>
      <c r="AH542">
        <v>4.6500000000000004</v>
      </c>
      <c r="AI542">
        <v>13.44</v>
      </c>
      <c r="AK542" t="s">
        <v>136</v>
      </c>
      <c r="AL542">
        <f t="shared" si="27"/>
        <v>13.035903375576616</v>
      </c>
      <c r="AM542">
        <f t="shared" si="28"/>
        <v>4.240781523519116E-2</v>
      </c>
      <c r="AN542">
        <f t="shared" si="29"/>
        <v>5.0426336890846482E-2</v>
      </c>
    </row>
    <row r="543" spans="1:40" x14ac:dyDescent="0.2">
      <c r="A543" t="s">
        <v>114</v>
      </c>
      <c r="B543">
        <v>2020</v>
      </c>
      <c r="C543">
        <v>128.3560012095208</v>
      </c>
      <c r="D543">
        <v>49.769066107968079</v>
      </c>
      <c r="E543">
        <v>5.7843175582361104</v>
      </c>
      <c r="F543">
        <v>2.545099725623889</v>
      </c>
      <c r="G543">
        <v>5.6805987606401516</v>
      </c>
      <c r="H543">
        <v>2.305748654248601</v>
      </c>
      <c r="I543">
        <v>0.1994592261460727</v>
      </c>
      <c r="J543">
        <v>0.49790780000000001</v>
      </c>
      <c r="K543">
        <v>0.35299999999999998</v>
      </c>
      <c r="L543">
        <v>9.8000000000000007</v>
      </c>
      <c r="M543">
        <v>0.14229455339171729</v>
      </c>
      <c r="N543">
        <v>169</v>
      </c>
      <c r="O543">
        <v>8</v>
      </c>
      <c r="P543">
        <v>29.426697696000002</v>
      </c>
      <c r="Q543">
        <v>51.084185112</v>
      </c>
      <c r="R543">
        <v>14.292688729</v>
      </c>
      <c r="S543">
        <v>4.9923933199999997</v>
      </c>
      <c r="T543">
        <v>0.20403514299998449</v>
      </c>
      <c r="U543" t="s">
        <v>114</v>
      </c>
      <c r="V543">
        <v>2810.0686436908532</v>
      </c>
      <c r="W543">
        <v>35.010151943570492</v>
      </c>
      <c r="X543">
        <v>11.98</v>
      </c>
      <c r="AA543">
        <v>3.76</v>
      </c>
      <c r="AD543">
        <v>762.78</v>
      </c>
      <c r="AF543">
        <v>63.63</v>
      </c>
      <c r="AH543">
        <v>5.13</v>
      </c>
      <c r="AI543">
        <v>15.07</v>
      </c>
      <c r="AK543" t="s">
        <v>136</v>
      </c>
      <c r="AL543">
        <f t="shared" si="27"/>
        <v>13.084621283669998</v>
      </c>
      <c r="AM543">
        <f t="shared" si="28"/>
        <v>4.5810542018896047E-2</v>
      </c>
      <c r="AN543">
        <f t="shared" si="29"/>
        <v>4.5064644455494761E-2</v>
      </c>
    </row>
    <row r="544" spans="1:40" x14ac:dyDescent="0.2">
      <c r="A544" t="s">
        <v>114</v>
      </c>
      <c r="B544">
        <v>2021</v>
      </c>
      <c r="C544">
        <v>129.4158965832786</v>
      </c>
      <c r="D544">
        <v>49.41099898181443</v>
      </c>
      <c r="E544">
        <v>6.0897807678923561</v>
      </c>
      <c r="F544">
        <v>2.6582376367784102</v>
      </c>
      <c r="G544">
        <v>5.638685896196626</v>
      </c>
      <c r="H544">
        <v>2.2957506863086259</v>
      </c>
      <c r="I544">
        <v>0.20943690471587459</v>
      </c>
      <c r="J544">
        <v>0.57266539999999999</v>
      </c>
      <c r="K544">
        <v>0.35799999999999998</v>
      </c>
      <c r="L544">
        <v>8.6999999999999993</v>
      </c>
      <c r="M544">
        <v>0.13786944517432381</v>
      </c>
      <c r="N544">
        <v>173</v>
      </c>
      <c r="O544">
        <v>8</v>
      </c>
      <c r="P544">
        <v>29.099269685446291</v>
      </c>
      <c r="Q544">
        <v>51.637062635613283</v>
      </c>
      <c r="R544">
        <v>14.092692551356039</v>
      </c>
      <c r="S544">
        <v>4.9833240121750517</v>
      </c>
      <c r="T544">
        <v>0.18765111540935209</v>
      </c>
      <c r="U544" t="s">
        <v>114</v>
      </c>
      <c r="V544">
        <v>914.36731532266208</v>
      </c>
      <c r="W544">
        <v>32.704581827593913</v>
      </c>
      <c r="X544">
        <v>11.11</v>
      </c>
      <c r="AA544">
        <v>5.67</v>
      </c>
      <c r="AD544">
        <v>761.91</v>
      </c>
      <c r="AF544">
        <v>73.67</v>
      </c>
      <c r="AH544">
        <v>4.57</v>
      </c>
      <c r="AI544">
        <v>14.33</v>
      </c>
      <c r="AK544" t="s">
        <v>136</v>
      </c>
      <c r="AL544">
        <f t="shared" si="27"/>
        <v>13.08390998180796</v>
      </c>
      <c r="AM544">
        <f t="shared" si="28"/>
        <v>4.5188597037221452E-2</v>
      </c>
      <c r="AN544">
        <f t="shared" si="29"/>
        <v>4.7055894435453743E-2</v>
      </c>
    </row>
    <row r="545" spans="1:40" x14ac:dyDescent="0.2">
      <c r="A545" t="s">
        <v>114</v>
      </c>
      <c r="B545">
        <v>2018</v>
      </c>
      <c r="C545">
        <v>132.0234750538049</v>
      </c>
      <c r="D545">
        <v>50.383824082472401</v>
      </c>
      <c r="E545">
        <v>5.4278951144203447</v>
      </c>
      <c r="F545">
        <v>1.8962079002341821</v>
      </c>
      <c r="G545">
        <v>5.1355630631342422</v>
      </c>
      <c r="H545">
        <v>2.5677815315671211</v>
      </c>
      <c r="I545">
        <v>0.1185129937646363</v>
      </c>
      <c r="J545">
        <v>0.46768860000000001</v>
      </c>
      <c r="K545">
        <v>0.36</v>
      </c>
      <c r="L545">
        <v>10.1</v>
      </c>
      <c r="M545">
        <v>0.1561366203415987</v>
      </c>
      <c r="N545">
        <v>173</v>
      </c>
      <c r="O545">
        <v>8</v>
      </c>
      <c r="P545">
        <v>30.696089750999999</v>
      </c>
      <c r="Q545">
        <v>50.055790799</v>
      </c>
      <c r="R545">
        <v>14.630370194999999</v>
      </c>
      <c r="S545">
        <v>4.1942793619999996</v>
      </c>
      <c r="T545">
        <v>0.42346989300000359</v>
      </c>
      <c r="U545" t="s">
        <v>114</v>
      </c>
      <c r="V545">
        <v>2909.4889460205541</v>
      </c>
      <c r="W545">
        <v>31.793989631531488</v>
      </c>
      <c r="X545">
        <v>15.67</v>
      </c>
      <c r="AA545">
        <v>6.33</v>
      </c>
      <c r="AD545">
        <v>762.34</v>
      </c>
      <c r="AF545">
        <v>60.23</v>
      </c>
      <c r="AH545">
        <v>4.88</v>
      </c>
      <c r="AI545">
        <v>13.86</v>
      </c>
      <c r="AK545" t="s">
        <v>136</v>
      </c>
      <c r="AL545">
        <f t="shared" si="27"/>
        <v>13.115430926270003</v>
      </c>
      <c r="AM545">
        <f t="shared" si="28"/>
        <v>3.9796529024536204E-2</v>
      </c>
      <c r="AN545">
        <f t="shared" si="29"/>
        <v>4.111310592459605E-2</v>
      </c>
    </row>
    <row r="546" spans="1:40" x14ac:dyDescent="0.2">
      <c r="A546" t="s">
        <v>114</v>
      </c>
      <c r="B546">
        <v>2017</v>
      </c>
      <c r="C546">
        <v>140.65077246572059</v>
      </c>
      <c r="D546">
        <v>57.895581773082689</v>
      </c>
      <c r="E546">
        <v>7.1375958499641152</v>
      </c>
      <c r="F546">
        <v>2.7385704032938389</v>
      </c>
      <c r="G546">
        <v>5.1308847785850089</v>
      </c>
      <c r="H546">
        <v>2.439531106382443</v>
      </c>
      <c r="I546">
        <v>0.18099746918321349</v>
      </c>
      <c r="J546">
        <v>0.42580129999999999</v>
      </c>
      <c r="K546">
        <v>0.372</v>
      </c>
      <c r="L546">
        <v>10.6</v>
      </c>
      <c r="M546">
        <v>0.1639379942251859</v>
      </c>
      <c r="N546">
        <v>186</v>
      </c>
      <c r="O546">
        <v>9</v>
      </c>
      <c r="P546">
        <v>27.354970407</v>
      </c>
      <c r="Q546">
        <v>51.381720633</v>
      </c>
      <c r="R546">
        <v>16.341636922999999</v>
      </c>
      <c r="S546">
        <v>4.6051193039999996</v>
      </c>
      <c r="T546">
        <v>0.31655273300000891</v>
      </c>
      <c r="U546" t="s">
        <v>114</v>
      </c>
      <c r="V546">
        <v>2858.356707344069</v>
      </c>
      <c r="W546">
        <v>31.19731216233583</v>
      </c>
      <c r="AK546" t="s">
        <v>136</v>
      </c>
      <c r="AL546">
        <f t="shared" si="27"/>
        <v>13.007572151550002</v>
      </c>
      <c r="AM546">
        <f t="shared" si="28"/>
        <v>3.7766463380518117E-2</v>
      </c>
      <c r="AN546">
        <f t="shared" si="29"/>
        <v>5.0746936720192488E-2</v>
      </c>
    </row>
    <row r="547" spans="1:40" x14ac:dyDescent="0.2">
      <c r="A547" t="s">
        <v>114</v>
      </c>
      <c r="B547">
        <v>2016</v>
      </c>
      <c r="C547">
        <v>144.67195843737619</v>
      </c>
      <c r="D547">
        <v>59.272968570152663</v>
      </c>
      <c r="E547">
        <v>6.7221631685210923</v>
      </c>
      <c r="F547">
        <v>2.5945191176748081</v>
      </c>
      <c r="G547">
        <v>5.0396568316047023</v>
      </c>
      <c r="H547">
        <v>2.5552082219524621</v>
      </c>
      <c r="I547">
        <v>0.41669549465686301</v>
      </c>
      <c r="J547">
        <v>0.39578099999999999</v>
      </c>
      <c r="K547">
        <v>0.38100000000000001</v>
      </c>
      <c r="L547">
        <v>11</v>
      </c>
      <c r="M547">
        <v>0.17181691118442941</v>
      </c>
      <c r="N547">
        <v>176</v>
      </c>
      <c r="O547">
        <v>9</v>
      </c>
      <c r="P547">
        <v>29.023334819999999</v>
      </c>
      <c r="Q547">
        <v>50.643597247000002</v>
      </c>
      <c r="R547">
        <v>15.544378278</v>
      </c>
      <c r="S547">
        <v>4.564224201</v>
      </c>
      <c r="T547">
        <v>0.22446545399999709</v>
      </c>
      <c r="U547" t="s">
        <v>114</v>
      </c>
      <c r="AK547" t="s">
        <v>136</v>
      </c>
      <c r="AL547">
        <f t="shared" si="27"/>
        <v>13.066808271939999</v>
      </c>
      <c r="AM547">
        <f t="shared" si="28"/>
        <v>3.771534155752404E-2</v>
      </c>
      <c r="AN547">
        <f t="shared" si="29"/>
        <v>4.6464866039889127E-2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Aleksandra Anchukova</cp:lastModifiedBy>
  <dcterms:created xsi:type="dcterms:W3CDTF">2025-12-14T08:04:29Z</dcterms:created>
  <dcterms:modified xsi:type="dcterms:W3CDTF">2025-12-14T16:02:08Z</dcterms:modified>
</cp:coreProperties>
</file>