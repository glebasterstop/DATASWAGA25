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PycharmProjects/PythonProject/"/>
    </mc:Choice>
  </mc:AlternateContent>
  <xr:revisionPtr revIDLastSave="0" documentId="13_ncr:1_{1F5444B9-A76B-BE48-BEDB-4E32AE8120F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<sst xmlns="http://schemas.openxmlformats.org/spreadsheetml/2006/main" count="270" uniqueCount="130">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</sst>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X1" workbookViewId="0">
      <selection activeCell="AQ2" sqref="AQ2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2020</v>
      </c>
      <c r="C2">
        <v>89.032754033790539</v>
      </c>
      <c r="D2">
        <v>46.816155892616528</v>
      </c>
      <c r="E2">
        <v>3.5846318626265421</v>
      </c>
      <c r="F2">
        <v>1.4899975814532009</v>
      </c>
      <c r="G2">
        <v>7.4283937394188566</v>
      </c>
      <c r="H2">
        <v>2.1162284490204888</v>
      </c>
      <c r="I2">
        <v>0.17275334277718271</v>
      </c>
      <c r="J2">
        <v>0.29226449999999998</v>
      </c>
      <c r="K2">
        <v>0.39600000000000002</v>
      </c>
      <c r="L2">
        <v>13.2</v>
      </c>
      <c r="M2">
        <v>0.17286113065290559</v>
      </c>
      <c r="N2">
        <v>33</v>
      </c>
      <c r="O2">
        <v>2</v>
      </c>
      <c r="P2">
        <v>39.393804818</v>
      </c>
      <c r="Q2">
        <v>38.426710397999997</v>
      </c>
      <c r="R2">
        <v>17.458064495999999</v>
      </c>
      <c r="S2">
        <v>4.4594053630000001</v>
      </c>
      <c r="T2">
        <v>0.26201492500001677</v>
      </c>
      <c r="U2" t="s">
        <v>41</v>
      </c>
      <c r="V2">
        <v>2796.9776967176308</v>
      </c>
      <c r="W2">
        <v>36.350570386632377</v>
      </c>
      <c r="AK2">
        <v>2796.9776967176308</v>
      </c>
      <c r="AL2">
        <v>36.350570386632377</v>
      </c>
      <c r="AM2" t="s">
        <v>122</v>
      </c>
      <c r="AN2">
        <v>12.91608352924</v>
      </c>
      <c r="AO2">
        <v>1</v>
      </c>
      <c r="AP2">
        <f>(G2+I2)/C2</f>
        <v>8.5374727140431733E-2</v>
      </c>
    </row>
    <row r="3" spans="1:42" x14ac:dyDescent="0.2">
      <c r="A3" t="s">
        <v>42</v>
      </c>
      <c r="B3">
        <v>2020</v>
      </c>
      <c r="C3">
        <v>216.23119161053859</v>
      </c>
      <c r="D3">
        <v>134.43485132686291</v>
      </c>
      <c r="E3">
        <v>5.3592271812735888</v>
      </c>
      <c r="F3">
        <v>2.4071105136228832</v>
      </c>
      <c r="G3">
        <v>6.9942456433570559</v>
      </c>
      <c r="H3">
        <v>5.0867241042596767</v>
      </c>
      <c r="I3">
        <v>2.2254417956136092</v>
      </c>
      <c r="J3">
        <v>0.29754809999999998</v>
      </c>
      <c r="K3">
        <v>0.376</v>
      </c>
      <c r="L3">
        <v>22.8</v>
      </c>
      <c r="M3">
        <v>0.15311410088352351</v>
      </c>
      <c r="N3">
        <v>27</v>
      </c>
      <c r="O3">
        <v>1</v>
      </c>
      <c r="P3">
        <v>27.598486068</v>
      </c>
      <c r="Q3">
        <v>40.655325392000002</v>
      </c>
      <c r="R3">
        <v>20.736029751</v>
      </c>
      <c r="S3">
        <v>10.477629942</v>
      </c>
      <c r="T3">
        <v>0.53252884699998049</v>
      </c>
      <c r="U3" t="s">
        <v>42</v>
      </c>
      <c r="V3">
        <v>2555.956583006347</v>
      </c>
      <c r="W3">
        <v>29.441125426812849</v>
      </c>
      <c r="AK3">
        <v>2555.956583006347</v>
      </c>
      <c r="AL3">
        <v>29.441125426812849</v>
      </c>
      <c r="AM3" t="s">
        <v>123</v>
      </c>
      <c r="AN3">
        <v>12.986523192650001</v>
      </c>
      <c r="AO3">
        <v>1</v>
      </c>
      <c r="AP3">
        <f t="shared" ref="AP3:AP66" si="0">(G3+I3)/C3</f>
        <v>4.2638101239235456E-2</v>
      </c>
    </row>
    <row r="4" spans="1:42" x14ac:dyDescent="0.2">
      <c r="A4" t="s">
        <v>43</v>
      </c>
      <c r="B4">
        <v>2020</v>
      </c>
      <c r="C4">
        <v>168.43514433444841</v>
      </c>
      <c r="D4">
        <v>85.065595582164832</v>
      </c>
      <c r="E4">
        <v>6.6158773287737143</v>
      </c>
      <c r="F4">
        <v>2.7490631822758358</v>
      </c>
      <c r="G4">
        <v>4.2509061766745653</v>
      </c>
      <c r="H4">
        <v>2.0801388600580109</v>
      </c>
      <c r="I4">
        <v>0.1726256315400839</v>
      </c>
      <c r="J4">
        <v>0.30070649999999999</v>
      </c>
      <c r="K4">
        <v>0.372</v>
      </c>
      <c r="L4">
        <v>16.8</v>
      </c>
      <c r="M4">
        <v>0.1543743837447546</v>
      </c>
      <c r="N4">
        <v>301</v>
      </c>
      <c r="O4">
        <v>8</v>
      </c>
      <c r="P4">
        <v>28.621875794000001</v>
      </c>
      <c r="Q4">
        <v>45.710011270999999</v>
      </c>
      <c r="R4">
        <v>19.960649202999999</v>
      </c>
      <c r="S4">
        <v>5.1306146659999996</v>
      </c>
      <c r="T4">
        <v>0.57684906599999408</v>
      </c>
      <c r="U4" t="s">
        <v>43</v>
      </c>
      <c r="V4">
        <v>2535.241524284826</v>
      </c>
      <c r="W4">
        <v>34.390524885842837</v>
      </c>
      <c r="X4">
        <v>5.17</v>
      </c>
      <c r="AA4">
        <v>-2.0699999999999998</v>
      </c>
      <c r="AD4">
        <v>764.21</v>
      </c>
      <c r="AF4">
        <v>64.98</v>
      </c>
      <c r="AH4">
        <v>4.42</v>
      </c>
      <c r="AI4">
        <v>14.95</v>
      </c>
      <c r="AK4">
        <v>2535.241524284826</v>
      </c>
      <c r="AL4">
        <v>34.390524885842837</v>
      </c>
      <c r="AM4" t="s">
        <v>123</v>
      </c>
      <c r="AN4">
        <v>13.08722927573</v>
      </c>
      <c r="AO4">
        <v>2</v>
      </c>
      <c r="AP4">
        <f t="shared" si="0"/>
        <v>2.6262522739501387E-2</v>
      </c>
    </row>
    <row r="5" spans="1:42" x14ac:dyDescent="0.2">
      <c r="A5" t="s">
        <v>44</v>
      </c>
      <c r="B5">
        <v>2020</v>
      </c>
      <c r="C5">
        <v>233.17688635063359</v>
      </c>
      <c r="D5">
        <v>95.551640161813765</v>
      </c>
      <c r="E5">
        <v>7.100870331272688</v>
      </c>
      <c r="F5">
        <v>3.7719418158988609</v>
      </c>
      <c r="G5">
        <v>5.0630091488575317</v>
      </c>
      <c r="H5">
        <v>2.9745178749538002</v>
      </c>
      <c r="I5">
        <v>0.2658079803150204</v>
      </c>
      <c r="J5">
        <v>0.57738719999999999</v>
      </c>
      <c r="K5">
        <v>0.39400000000000002</v>
      </c>
      <c r="L5">
        <v>15.2</v>
      </c>
      <c r="M5">
        <v>0.16449041127393979</v>
      </c>
      <c r="N5">
        <v>100</v>
      </c>
      <c r="O5">
        <v>4</v>
      </c>
      <c r="P5">
        <v>29.125803209000001</v>
      </c>
      <c r="Q5">
        <v>48.560741528000001</v>
      </c>
      <c r="R5">
        <v>15.636396547</v>
      </c>
      <c r="S5">
        <v>6.3534068770000003</v>
      </c>
      <c r="T5">
        <v>0.32365183899999289</v>
      </c>
      <c r="U5" t="s">
        <v>44</v>
      </c>
      <c r="V5">
        <v>2618.5396704239042</v>
      </c>
      <c r="W5">
        <v>27.874588291037011</v>
      </c>
      <c r="X5">
        <v>2.76</v>
      </c>
      <c r="AA5">
        <v>-3.74</v>
      </c>
      <c r="AD5">
        <v>759.26</v>
      </c>
      <c r="AF5">
        <v>66.67</v>
      </c>
      <c r="AH5">
        <v>2.99</v>
      </c>
      <c r="AI5">
        <v>12.75</v>
      </c>
      <c r="AK5">
        <v>2618.5396704239042</v>
      </c>
      <c r="AL5">
        <v>27.874588291037011</v>
      </c>
      <c r="AM5" t="s">
        <v>124</v>
      </c>
      <c r="AN5">
        <v>13.182842577020001</v>
      </c>
      <c r="AO5">
        <v>3</v>
      </c>
      <c r="AP5">
        <f t="shared" si="0"/>
        <v>2.2853110411464556E-2</v>
      </c>
    </row>
    <row r="6" spans="1:42" x14ac:dyDescent="0.2">
      <c r="A6" t="s">
        <v>45</v>
      </c>
      <c r="B6">
        <v>2020</v>
      </c>
      <c r="C6">
        <v>174.60253527934211</v>
      </c>
      <c r="D6">
        <v>77.817770389519083</v>
      </c>
      <c r="E6">
        <v>7.5337048618485136</v>
      </c>
      <c r="F6">
        <v>3.7622754534869238</v>
      </c>
      <c r="G6">
        <v>8.6230254919335341</v>
      </c>
      <c r="H6">
        <v>4.055202009476174</v>
      </c>
      <c r="I6">
        <v>0.37531214986122602</v>
      </c>
      <c r="J6">
        <v>0.54851840000000007</v>
      </c>
      <c r="K6">
        <v>0.36599999999999999</v>
      </c>
      <c r="L6">
        <v>11.4</v>
      </c>
      <c r="M6">
        <v>0.13172834593447399</v>
      </c>
      <c r="N6">
        <v>218</v>
      </c>
      <c r="O6">
        <v>4</v>
      </c>
      <c r="P6">
        <v>27.429487117000001</v>
      </c>
      <c r="Q6">
        <v>55.771142011000002</v>
      </c>
      <c r="R6">
        <v>11.648073720999999</v>
      </c>
      <c r="S6">
        <v>4.7043550280000002</v>
      </c>
      <c r="T6">
        <v>0.44694212299999952</v>
      </c>
      <c r="U6" t="s">
        <v>45</v>
      </c>
      <c r="V6">
        <v>2827.0717199303508</v>
      </c>
      <c r="W6">
        <v>27.316211907496481</v>
      </c>
      <c r="AK6">
        <v>2827.0717199303508</v>
      </c>
      <c r="AL6">
        <v>27.316211907496481</v>
      </c>
      <c r="AM6" t="s">
        <v>125</v>
      </c>
      <c r="AN6">
        <v>13.2363466759</v>
      </c>
      <c r="AO6">
        <v>3</v>
      </c>
      <c r="AP6">
        <f t="shared" si="0"/>
        <v>5.1536122470378518E-2</v>
      </c>
    </row>
    <row r="7" spans="1:42" x14ac:dyDescent="0.2">
      <c r="A7" t="s">
        <v>46</v>
      </c>
      <c r="B7">
        <v>2020</v>
      </c>
      <c r="C7">
        <v>139.78178173799091</v>
      </c>
      <c r="D7">
        <v>77.591366717638607</v>
      </c>
      <c r="E7">
        <v>7.347516658679516</v>
      </c>
      <c r="F7">
        <v>3.002638742789193</v>
      </c>
      <c r="G7">
        <v>7.2580340471394402</v>
      </c>
      <c r="H7">
        <v>4.1659126928101724</v>
      </c>
      <c r="I7">
        <v>7.9540099146733503E-2</v>
      </c>
      <c r="J7">
        <v>0.541099</v>
      </c>
      <c r="K7">
        <v>0.35699999999999998</v>
      </c>
      <c r="L7">
        <v>15.2</v>
      </c>
      <c r="M7">
        <v>0.159855500619939</v>
      </c>
      <c r="N7">
        <v>101</v>
      </c>
      <c r="O7">
        <v>6</v>
      </c>
      <c r="P7">
        <v>33.661168472</v>
      </c>
      <c r="Q7">
        <v>47.252157902</v>
      </c>
      <c r="R7">
        <v>14.778898666</v>
      </c>
      <c r="S7">
        <v>3.8579385460000002</v>
      </c>
      <c r="T7">
        <v>0.4498364139999893</v>
      </c>
      <c r="U7" t="s">
        <v>46</v>
      </c>
      <c r="V7">
        <v>2802.475166359442</v>
      </c>
      <c r="W7">
        <v>36.964073545417477</v>
      </c>
      <c r="AK7">
        <v>2802.475166359442</v>
      </c>
      <c r="AL7">
        <v>36.964073545417477</v>
      </c>
      <c r="AM7" t="s">
        <v>122</v>
      </c>
      <c r="AN7">
        <v>13.26208831744</v>
      </c>
      <c r="AO7">
        <v>3</v>
      </c>
      <c r="AP7">
        <f t="shared" si="0"/>
        <v>5.2493064940607452E-2</v>
      </c>
    </row>
    <row r="8" spans="1:42" x14ac:dyDescent="0.2">
      <c r="A8" t="s">
        <v>47</v>
      </c>
      <c r="B8">
        <v>2020</v>
      </c>
      <c r="C8">
        <v>138.38759372792151</v>
      </c>
      <c r="D8">
        <v>54.869171558963487</v>
      </c>
      <c r="E8">
        <v>8.4345533388919822</v>
      </c>
      <c r="F8">
        <v>1.9390062432038819</v>
      </c>
      <c r="G8">
        <v>6.4039210024587989</v>
      </c>
      <c r="H8">
        <v>2.0677780499045242</v>
      </c>
      <c r="I8">
        <v>8.9149712331212896E-2</v>
      </c>
      <c r="J8">
        <v>0.41276770000000002</v>
      </c>
      <c r="K8">
        <v>0.39100000000000001</v>
      </c>
      <c r="L8">
        <v>11.8</v>
      </c>
      <c r="M8">
        <v>0.1588563992614338</v>
      </c>
      <c r="N8">
        <v>523</v>
      </c>
      <c r="O8">
        <v>10</v>
      </c>
      <c r="P8">
        <v>31.256169894999999</v>
      </c>
      <c r="Q8">
        <v>52.120740941000001</v>
      </c>
      <c r="R8">
        <v>13.982857628</v>
      </c>
      <c r="S8">
        <v>2.5700253759999998</v>
      </c>
      <c r="T8">
        <v>7.0206159999983697E-2</v>
      </c>
      <c r="U8" t="s">
        <v>47</v>
      </c>
      <c r="V8">
        <v>2968.7425787447878</v>
      </c>
      <c r="W8">
        <v>32.646337205919437</v>
      </c>
      <c r="X8">
        <v>5.53</v>
      </c>
      <c r="AA8">
        <v>0.85</v>
      </c>
      <c r="AD8">
        <v>763.04</v>
      </c>
      <c r="AF8">
        <v>75.67</v>
      </c>
      <c r="AH8">
        <v>4.17</v>
      </c>
      <c r="AI8">
        <v>14.03</v>
      </c>
      <c r="AK8">
        <v>2968.7425787447878</v>
      </c>
      <c r="AL8">
        <v>32.646337205919437</v>
      </c>
      <c r="AM8" t="s">
        <v>126</v>
      </c>
      <c r="AN8">
        <v>13.142661908239999</v>
      </c>
      <c r="AO8">
        <v>2</v>
      </c>
      <c r="AP8">
        <f t="shared" si="0"/>
        <v>4.6919456722080061E-2</v>
      </c>
    </row>
    <row r="9" spans="1:42" x14ac:dyDescent="0.2">
      <c r="A9" t="s">
        <v>48</v>
      </c>
      <c r="B9">
        <v>2020</v>
      </c>
      <c r="C9">
        <v>92.573286916511037</v>
      </c>
      <c r="D9">
        <v>41.51306102503888</v>
      </c>
      <c r="E9">
        <v>4.0538333577553134</v>
      </c>
      <c r="F9">
        <v>1.6589732053234321</v>
      </c>
      <c r="G9">
        <v>3.9570061278726221</v>
      </c>
      <c r="H9">
        <v>1.439498150922667</v>
      </c>
      <c r="I9">
        <v>0.1226478245180747</v>
      </c>
      <c r="J9">
        <v>0.64377439999999997</v>
      </c>
      <c r="K9">
        <v>0.377</v>
      </c>
      <c r="L9">
        <v>7.2</v>
      </c>
      <c r="M9">
        <v>0.15064937406508999</v>
      </c>
      <c r="N9">
        <v>176</v>
      </c>
      <c r="O9">
        <v>5</v>
      </c>
      <c r="P9">
        <v>33.207162285000003</v>
      </c>
      <c r="Q9">
        <v>49.060286988000001</v>
      </c>
      <c r="R9">
        <v>15.670520145999999</v>
      </c>
      <c r="S9">
        <v>1.9387645389999999</v>
      </c>
      <c r="T9">
        <v>0.1232660419999831</v>
      </c>
      <c r="U9" t="s">
        <v>48</v>
      </c>
      <c r="V9">
        <v>2965.185253134403</v>
      </c>
      <c r="W9">
        <v>33.651359005050651</v>
      </c>
      <c r="AK9">
        <v>2965.185253134403</v>
      </c>
      <c r="AL9">
        <v>33.651359005050651</v>
      </c>
      <c r="AM9" t="s">
        <v>127</v>
      </c>
      <c r="AN9">
        <v>13.150745872410001</v>
      </c>
      <c r="AO9">
        <v>2</v>
      </c>
      <c r="AP9">
        <f t="shared" si="0"/>
        <v>4.4069451223764038E-2</v>
      </c>
    </row>
    <row r="10" spans="1:42" x14ac:dyDescent="0.2">
      <c r="A10" t="s">
        <v>49</v>
      </c>
      <c r="B10">
        <v>2020</v>
      </c>
      <c r="C10">
        <v>127.2797865979701</v>
      </c>
      <c r="D10">
        <v>57.853686107484251</v>
      </c>
      <c r="E10">
        <v>5.7442781538812451</v>
      </c>
      <c r="F10">
        <v>2.8092455205112659</v>
      </c>
      <c r="G10">
        <v>6.0713246473139</v>
      </c>
      <c r="H10">
        <v>3.2788507418504631</v>
      </c>
      <c r="I10">
        <v>0.77988009972402317</v>
      </c>
      <c r="J10">
        <v>0.34977439999999999</v>
      </c>
      <c r="K10">
        <v>0.36499999999999999</v>
      </c>
      <c r="L10">
        <v>13.6</v>
      </c>
      <c r="M10">
        <v>0.1478788439384128</v>
      </c>
      <c r="N10">
        <v>204</v>
      </c>
      <c r="O10">
        <v>5</v>
      </c>
      <c r="P10">
        <v>29.474684572000001</v>
      </c>
      <c r="Q10">
        <v>50.161468063000001</v>
      </c>
      <c r="R10">
        <v>18.529871145000001</v>
      </c>
      <c r="S10">
        <v>1.7764699900000001</v>
      </c>
      <c r="T10">
        <v>5.7506230000001317E-2</v>
      </c>
      <c r="U10" t="s">
        <v>49</v>
      </c>
      <c r="V10">
        <v>2860.4045757574008</v>
      </c>
      <c r="W10">
        <v>38.475105787040427</v>
      </c>
      <c r="AK10">
        <v>2860.4045757574008</v>
      </c>
      <c r="AL10">
        <v>38.475105787040427</v>
      </c>
      <c r="AM10" t="s">
        <v>127</v>
      </c>
      <c r="AN10">
        <v>12.989568989049999</v>
      </c>
      <c r="AO10">
        <v>1</v>
      </c>
      <c r="AP10">
        <f t="shared" si="0"/>
        <v>5.3827908815390707E-2</v>
      </c>
    </row>
    <row r="11" spans="1:42" x14ac:dyDescent="0.2">
      <c r="A11" t="s">
        <v>50</v>
      </c>
      <c r="B11">
        <v>2020</v>
      </c>
      <c r="C11">
        <v>209.333862102751</v>
      </c>
      <c r="D11">
        <v>99.184836353641259</v>
      </c>
      <c r="E11">
        <v>4.9698915853649881</v>
      </c>
      <c r="F11">
        <v>3.3064992996509921</v>
      </c>
      <c r="G11">
        <v>5.3654543850164869</v>
      </c>
      <c r="H11">
        <v>3.0326481306614932</v>
      </c>
      <c r="I11">
        <v>0.2028527177699995</v>
      </c>
      <c r="J11">
        <v>0.30849929999999998</v>
      </c>
      <c r="K11">
        <v>0.35699999999999998</v>
      </c>
      <c r="L11">
        <v>19.899999999999999</v>
      </c>
      <c r="M11">
        <v>0.1679618530940904</v>
      </c>
      <c r="N11">
        <v>188</v>
      </c>
      <c r="O11">
        <v>1</v>
      </c>
      <c r="P11">
        <v>35.133681357</v>
      </c>
      <c r="Q11">
        <v>41.703327606000002</v>
      </c>
      <c r="R11">
        <v>18.953221684999999</v>
      </c>
      <c r="S11">
        <v>4.1203184129999997</v>
      </c>
      <c r="T11">
        <v>8.9450938999988239E-2</v>
      </c>
      <c r="U11" t="s">
        <v>50</v>
      </c>
      <c r="V11">
        <v>2670.7223199929681</v>
      </c>
      <c r="W11">
        <v>36.478402585111333</v>
      </c>
      <c r="AK11">
        <v>2670.7223199929681</v>
      </c>
      <c r="AL11">
        <v>36.478402585111333</v>
      </c>
      <c r="AM11" t="s">
        <v>123</v>
      </c>
      <c r="AN11">
        <v>13.247721201119999</v>
      </c>
      <c r="AO11">
        <v>3</v>
      </c>
      <c r="AP11">
        <f t="shared" si="0"/>
        <v>2.6600125975095694E-2</v>
      </c>
    </row>
    <row r="12" spans="1:42" x14ac:dyDescent="0.2">
      <c r="A12" t="s">
        <v>51</v>
      </c>
      <c r="B12">
        <v>2020</v>
      </c>
      <c r="C12">
        <v>127.8768801309761</v>
      </c>
      <c r="D12">
        <v>52.185781086206291</v>
      </c>
      <c r="E12">
        <v>6.0511654750827431</v>
      </c>
      <c r="F12">
        <v>2.385130917185899</v>
      </c>
      <c r="G12">
        <v>6.868293659674209</v>
      </c>
      <c r="H12">
        <v>2.2526236440089051</v>
      </c>
      <c r="I12">
        <v>8.8338182117996197E-2</v>
      </c>
      <c r="J12">
        <v>0.40478550000000002</v>
      </c>
      <c r="K12">
        <v>0.33</v>
      </c>
      <c r="L12">
        <v>12.6</v>
      </c>
      <c r="M12">
        <v>0.14177281350138229</v>
      </c>
      <c r="N12">
        <v>139</v>
      </c>
      <c r="O12">
        <v>3</v>
      </c>
      <c r="P12">
        <v>28.849964554</v>
      </c>
      <c r="Q12">
        <v>46.491910300999997</v>
      </c>
      <c r="R12">
        <v>20.127964300999999</v>
      </c>
      <c r="S12">
        <v>4.4568691989999998</v>
      </c>
      <c r="T12">
        <v>7.3291644999997629E-2</v>
      </c>
      <c r="U12" t="s">
        <v>51</v>
      </c>
      <c r="V12">
        <v>2812.45336068392</v>
      </c>
      <c r="W12">
        <v>40.149836537163353</v>
      </c>
      <c r="AK12">
        <v>2812.45336068392</v>
      </c>
      <c r="AL12">
        <v>40.149836537163353</v>
      </c>
      <c r="AM12" t="s">
        <v>127</v>
      </c>
      <c r="AN12">
        <v>13.011152866470001</v>
      </c>
      <c r="AO12">
        <v>1</v>
      </c>
      <c r="AP12">
        <f t="shared" si="0"/>
        <v>5.440101318289102E-2</v>
      </c>
    </row>
    <row r="13" spans="1:42" x14ac:dyDescent="0.2">
      <c r="A13" t="s">
        <v>52</v>
      </c>
      <c r="B13">
        <v>2020</v>
      </c>
      <c r="C13">
        <v>155.30486110999601</v>
      </c>
      <c r="D13">
        <v>61.552703373215003</v>
      </c>
      <c r="E13">
        <v>4.3636462901379183</v>
      </c>
      <c r="F13">
        <v>2.6334424713251838</v>
      </c>
      <c r="G13">
        <v>5.3712591869406943</v>
      </c>
      <c r="H13">
        <v>2.5049818629678571</v>
      </c>
      <c r="I13">
        <v>0.30509394484864932</v>
      </c>
      <c r="J13">
        <v>0.38799099999999997</v>
      </c>
      <c r="K13">
        <v>0.34</v>
      </c>
      <c r="L13">
        <v>12.1</v>
      </c>
      <c r="M13">
        <v>0.15778396097539349</v>
      </c>
      <c r="N13">
        <v>278</v>
      </c>
      <c r="O13">
        <v>12</v>
      </c>
      <c r="P13">
        <v>34.839360970999998</v>
      </c>
      <c r="Q13">
        <v>46.617053941000002</v>
      </c>
      <c r="R13">
        <v>15.155547006000001</v>
      </c>
      <c r="S13">
        <v>3.1793669840000001</v>
      </c>
      <c r="T13">
        <v>0.20867109799999639</v>
      </c>
      <c r="U13" t="s">
        <v>52</v>
      </c>
      <c r="V13">
        <v>2734.5359347324429</v>
      </c>
      <c r="W13">
        <v>36.816915584210491</v>
      </c>
      <c r="X13">
        <v>9.98</v>
      </c>
      <c r="AA13">
        <v>1.39</v>
      </c>
      <c r="AD13">
        <v>763.54</v>
      </c>
      <c r="AF13">
        <v>62.54</v>
      </c>
      <c r="AH13">
        <v>5.31</v>
      </c>
      <c r="AI13">
        <v>14.07</v>
      </c>
      <c r="AK13">
        <v>2734.5359347324429</v>
      </c>
      <c r="AL13">
        <v>36.816915584210491</v>
      </c>
      <c r="AM13" t="s">
        <v>122</v>
      </c>
      <c r="AN13">
        <v>13.150013273720001</v>
      </c>
      <c r="AO13">
        <v>2</v>
      </c>
      <c r="AP13">
        <f t="shared" si="0"/>
        <v>3.654974539250911E-2</v>
      </c>
    </row>
    <row r="14" spans="1:42" x14ac:dyDescent="0.2">
      <c r="A14" t="s">
        <v>53</v>
      </c>
      <c r="B14">
        <v>2020</v>
      </c>
      <c r="C14">
        <v>149.201383951846</v>
      </c>
      <c r="D14">
        <v>70.11103499088712</v>
      </c>
      <c r="E14">
        <v>5.1445781575171594</v>
      </c>
      <c r="F14">
        <v>2.2663719521390502</v>
      </c>
      <c r="G14">
        <v>6.8680549272046498</v>
      </c>
      <c r="H14">
        <v>3.265988478557794</v>
      </c>
      <c r="I14">
        <v>5.1704303090624702E-2</v>
      </c>
      <c r="J14">
        <v>0.54072249999999999</v>
      </c>
      <c r="K14">
        <v>0.35699999999999998</v>
      </c>
      <c r="L14">
        <v>12.8</v>
      </c>
      <c r="M14">
        <v>0.1392529836413921</v>
      </c>
      <c r="N14">
        <v>161</v>
      </c>
      <c r="O14">
        <v>4</v>
      </c>
      <c r="P14">
        <v>27.108919859</v>
      </c>
      <c r="Q14">
        <v>52.488158579999997</v>
      </c>
      <c r="R14">
        <v>14.752005274</v>
      </c>
      <c r="S14">
        <v>5.4519408120000001</v>
      </c>
      <c r="T14">
        <v>0.19897547499999749</v>
      </c>
      <c r="U14" t="s">
        <v>53</v>
      </c>
      <c r="V14">
        <v>2872.1703666363792</v>
      </c>
      <c r="W14">
        <v>35.515875112380343</v>
      </c>
      <c r="X14">
        <v>6</v>
      </c>
      <c r="AA14">
        <v>2.82</v>
      </c>
      <c r="AD14">
        <v>759.66</v>
      </c>
      <c r="AF14">
        <v>82.67</v>
      </c>
      <c r="AH14">
        <v>2.69</v>
      </c>
      <c r="AI14">
        <v>8.58</v>
      </c>
      <c r="AK14">
        <v>2872.1703666363792</v>
      </c>
      <c r="AL14">
        <v>35.515875112380343</v>
      </c>
      <c r="AM14" t="s">
        <v>125</v>
      </c>
      <c r="AN14">
        <v>12.671164344459999</v>
      </c>
      <c r="AO14">
        <v>1</v>
      </c>
      <c r="AP14">
        <f t="shared" si="0"/>
        <v>4.6378653113087691E-2</v>
      </c>
    </row>
    <row r="15" spans="1:42" x14ac:dyDescent="0.2">
      <c r="A15" t="s">
        <v>54</v>
      </c>
      <c r="B15">
        <v>2020</v>
      </c>
      <c r="C15">
        <v>127.0541970265101</v>
      </c>
      <c r="D15">
        <v>47.85722429820089</v>
      </c>
      <c r="E15">
        <v>5.0942150111543523</v>
      </c>
      <c r="F15">
        <v>2.0006841048874771</v>
      </c>
      <c r="G15">
        <v>5.829950456177488</v>
      </c>
      <c r="H15">
        <v>2.2201139744557818</v>
      </c>
      <c r="I15">
        <v>0.21082477664405669</v>
      </c>
      <c r="J15">
        <v>0.45656550000000001</v>
      </c>
      <c r="K15">
        <v>0.39100000000000001</v>
      </c>
      <c r="L15">
        <v>8.5</v>
      </c>
      <c r="M15">
        <v>0.1563543833517381</v>
      </c>
      <c r="N15">
        <v>266</v>
      </c>
      <c r="O15">
        <v>15</v>
      </c>
      <c r="P15">
        <v>34.682558186999998</v>
      </c>
      <c r="Q15">
        <v>41.198791159999999</v>
      </c>
      <c r="R15">
        <v>21.524614275000001</v>
      </c>
      <c r="S15">
        <v>2.40635339</v>
      </c>
      <c r="T15">
        <v>0.1876829879999917</v>
      </c>
      <c r="U15" t="s">
        <v>54</v>
      </c>
      <c r="V15">
        <v>2774.9100188647139</v>
      </c>
      <c r="W15">
        <v>37.702262941824372</v>
      </c>
      <c r="X15">
        <v>9.0299999999999994</v>
      </c>
      <c r="AA15">
        <v>1.74</v>
      </c>
      <c r="AD15">
        <v>762.61</v>
      </c>
      <c r="AF15">
        <v>66.27</v>
      </c>
      <c r="AH15">
        <v>3.86</v>
      </c>
      <c r="AI15">
        <v>12.13</v>
      </c>
      <c r="AK15">
        <v>2774.9100188647139</v>
      </c>
      <c r="AL15">
        <v>37.702262941824372</v>
      </c>
      <c r="AM15" t="s">
        <v>127</v>
      </c>
      <c r="AN15">
        <v>12.38992914744</v>
      </c>
      <c r="AO15">
        <v>1</v>
      </c>
      <c r="AP15">
        <f t="shared" si="0"/>
        <v>4.7544869624111079E-2</v>
      </c>
    </row>
    <row r="16" spans="1:42" x14ac:dyDescent="0.2">
      <c r="A16" t="s">
        <v>55</v>
      </c>
      <c r="B16">
        <v>2020</v>
      </c>
      <c r="C16">
        <v>233.2838507943527</v>
      </c>
      <c r="D16">
        <v>97.027889201225477</v>
      </c>
      <c r="E16">
        <v>7.0749502542560254</v>
      </c>
      <c r="F16">
        <v>3.663813524525442</v>
      </c>
      <c r="G16">
        <v>4.6745207037048733</v>
      </c>
      <c r="H16">
        <v>2.968952338839582</v>
      </c>
      <c r="I16">
        <v>0.252676794794858</v>
      </c>
      <c r="J16">
        <v>0.41119919999999999</v>
      </c>
      <c r="K16">
        <v>0.33200000000000002</v>
      </c>
      <c r="L16">
        <v>23</v>
      </c>
      <c r="M16">
        <v>0.16016650076916111</v>
      </c>
      <c r="N16">
        <v>24</v>
      </c>
      <c r="O16">
        <v>1</v>
      </c>
      <c r="P16">
        <v>28.704963706000001</v>
      </c>
      <c r="Q16">
        <v>42.430257830000002</v>
      </c>
      <c r="R16">
        <v>18.018236144999999</v>
      </c>
      <c r="S16">
        <v>8.6723720390000008</v>
      </c>
      <c r="T16">
        <v>2.174170279999998</v>
      </c>
      <c r="U16" t="s">
        <v>55</v>
      </c>
      <c r="V16">
        <v>2724.2488979596451</v>
      </c>
      <c r="W16">
        <v>29.390125847883759</v>
      </c>
      <c r="AK16">
        <v>2724.2488979596451</v>
      </c>
      <c r="AL16">
        <v>29.390125847883759</v>
      </c>
      <c r="AM16" t="s">
        <v>124</v>
      </c>
      <c r="AN16">
        <v>13.00674278058</v>
      </c>
      <c r="AO16">
        <v>1</v>
      </c>
      <c r="AP16">
        <f t="shared" si="0"/>
        <v>2.1121039805036549E-2</v>
      </c>
    </row>
    <row r="17" spans="1:42" x14ac:dyDescent="0.2">
      <c r="A17" t="s">
        <v>56</v>
      </c>
      <c r="B17">
        <v>2020</v>
      </c>
      <c r="C17">
        <v>214.2398792110975</v>
      </c>
      <c r="D17">
        <v>111.61649523450031</v>
      </c>
      <c r="E17">
        <v>6.3602906482966874</v>
      </c>
      <c r="F17">
        <v>4.510710578465603</v>
      </c>
      <c r="G17">
        <v>4.8976125318486359</v>
      </c>
      <c r="H17">
        <v>2.6988770406718881</v>
      </c>
      <c r="I17">
        <v>0.37746532037369063</v>
      </c>
      <c r="J17">
        <v>0.41448380000000001</v>
      </c>
      <c r="K17">
        <v>0.35599999999999998</v>
      </c>
      <c r="L17">
        <v>20.2</v>
      </c>
      <c r="M17">
        <v>0.17405640268736591</v>
      </c>
      <c r="N17">
        <v>128</v>
      </c>
      <c r="O17">
        <v>10</v>
      </c>
      <c r="P17">
        <v>22.850781123000001</v>
      </c>
      <c r="Q17">
        <v>39.108013968999998</v>
      </c>
      <c r="R17">
        <v>25.022235575</v>
      </c>
      <c r="S17">
        <v>12.101309529</v>
      </c>
      <c r="T17">
        <v>0.91765980399999592</v>
      </c>
      <c r="U17" t="s">
        <v>56</v>
      </c>
      <c r="V17">
        <v>2950.72412642583</v>
      </c>
      <c r="W17">
        <v>36.619159865356757</v>
      </c>
      <c r="X17">
        <v>0.75</v>
      </c>
      <c r="AA17">
        <v>-6.52</v>
      </c>
      <c r="AD17">
        <v>760.55</v>
      </c>
      <c r="AF17">
        <v>63.53</v>
      </c>
      <c r="AH17">
        <v>2.85</v>
      </c>
      <c r="AI17">
        <v>13.85</v>
      </c>
      <c r="AK17">
        <v>2950.72412642583</v>
      </c>
      <c r="AL17">
        <v>36.619159865356757</v>
      </c>
      <c r="AM17" t="s">
        <v>123</v>
      </c>
      <c r="AN17">
        <v>12.78933424097</v>
      </c>
      <c r="AO17">
        <v>1</v>
      </c>
      <c r="AP17">
        <f t="shared" si="0"/>
        <v>2.4622296612782445E-2</v>
      </c>
    </row>
    <row r="18" spans="1:42" x14ac:dyDescent="0.2">
      <c r="A18" t="s">
        <v>57</v>
      </c>
      <c r="B18">
        <v>2020</v>
      </c>
      <c r="C18">
        <v>137.91512683839201</v>
      </c>
      <c r="D18">
        <v>53.041965230385053</v>
      </c>
      <c r="E18">
        <v>7.5315779708865902</v>
      </c>
      <c r="F18">
        <v>2.577384205749472</v>
      </c>
      <c r="G18">
        <v>7.4312906477056764</v>
      </c>
      <c r="H18">
        <v>3.1289644832444958</v>
      </c>
      <c r="I18">
        <v>0.1303735201351873</v>
      </c>
      <c r="J18">
        <v>0.28482619999999997</v>
      </c>
      <c r="K18">
        <v>0.36</v>
      </c>
      <c r="L18">
        <v>13.1</v>
      </c>
      <c r="M18">
        <v>0.1389473507596897</v>
      </c>
      <c r="N18">
        <v>105</v>
      </c>
      <c r="O18">
        <v>6</v>
      </c>
      <c r="P18">
        <v>29.820601142000001</v>
      </c>
      <c r="Q18">
        <v>45.268584337999997</v>
      </c>
      <c r="R18">
        <v>20.708176642000002</v>
      </c>
      <c r="S18">
        <v>4.0546339920000003</v>
      </c>
      <c r="T18">
        <v>0.14800388599999789</v>
      </c>
      <c r="U18" t="s">
        <v>57</v>
      </c>
      <c r="V18">
        <v>2583.2155983778912</v>
      </c>
      <c r="W18">
        <v>33.398727481233578</v>
      </c>
      <c r="AK18">
        <v>2583.2155983778912</v>
      </c>
      <c r="AL18">
        <v>33.398727481233578</v>
      </c>
      <c r="AM18" t="s">
        <v>127</v>
      </c>
      <c r="AN18">
        <v>13.021206327290001</v>
      </c>
      <c r="AO18">
        <v>2</v>
      </c>
      <c r="AP18">
        <f t="shared" si="0"/>
        <v>5.4828388598022096E-2</v>
      </c>
    </row>
    <row r="19" spans="1:42" x14ac:dyDescent="0.2">
      <c r="A19" t="s">
        <v>58</v>
      </c>
      <c r="B19">
        <v>2020</v>
      </c>
      <c r="C19">
        <v>176.37221253156901</v>
      </c>
      <c r="D19">
        <v>80.729577244496781</v>
      </c>
      <c r="E19">
        <v>5.6749915209688213</v>
      </c>
      <c r="F19">
        <v>2.9859572188443182</v>
      </c>
      <c r="G19">
        <v>6.1601050187082347</v>
      </c>
      <c r="H19">
        <v>3.178329812775464</v>
      </c>
      <c r="I19">
        <v>0.12964240025794649</v>
      </c>
      <c r="J19">
        <v>0.62561869999999997</v>
      </c>
      <c r="K19">
        <v>0.35799999999999998</v>
      </c>
      <c r="L19">
        <v>17.600000000000001</v>
      </c>
      <c r="M19">
        <v>0.1576362964131402</v>
      </c>
      <c r="N19">
        <v>348</v>
      </c>
      <c r="O19">
        <v>16</v>
      </c>
      <c r="P19">
        <v>28.024546943000001</v>
      </c>
      <c r="Q19">
        <v>42.402863557000003</v>
      </c>
      <c r="R19">
        <v>21.197943692999999</v>
      </c>
      <c r="S19">
        <v>8.1304059720000001</v>
      </c>
      <c r="T19">
        <v>0.24423983499998769</v>
      </c>
      <c r="U19" t="s">
        <v>58</v>
      </c>
      <c r="V19">
        <v>2819.4685577742448</v>
      </c>
      <c r="W19">
        <v>34.532265819344858</v>
      </c>
      <c r="AK19">
        <v>2819.4685577742448</v>
      </c>
      <c r="AL19">
        <v>34.532265819344858</v>
      </c>
      <c r="AM19" t="s">
        <v>123</v>
      </c>
      <c r="AN19">
        <v>13.26387011081</v>
      </c>
      <c r="AO19">
        <v>3</v>
      </c>
      <c r="AP19">
        <f t="shared" si="0"/>
        <v>3.5661782140655372E-2</v>
      </c>
    </row>
    <row r="20" spans="1:42" x14ac:dyDescent="0.2">
      <c r="A20" t="s">
        <v>59</v>
      </c>
      <c r="B20">
        <v>2020</v>
      </c>
      <c r="C20">
        <v>134.0527322145318</v>
      </c>
      <c r="D20">
        <v>55.545020700989227</v>
      </c>
      <c r="E20">
        <v>6.6468348029455457</v>
      </c>
      <c r="F20">
        <v>2.2518251635536171</v>
      </c>
      <c r="G20">
        <v>4.8987073733447124</v>
      </c>
      <c r="H20">
        <v>2.320960146645175</v>
      </c>
      <c r="I20">
        <v>0.3654277677696659</v>
      </c>
      <c r="J20">
        <v>0.53935049999999995</v>
      </c>
      <c r="K20">
        <v>0.35199999999999998</v>
      </c>
      <c r="L20">
        <v>13.5</v>
      </c>
      <c r="M20">
        <v>0.1600194624387736</v>
      </c>
      <c r="N20">
        <v>81</v>
      </c>
      <c r="O20">
        <v>3</v>
      </c>
      <c r="P20">
        <v>32.682200332000001</v>
      </c>
      <c r="Q20">
        <v>42.833647368999998</v>
      </c>
      <c r="R20">
        <v>18.556867752999999</v>
      </c>
      <c r="S20">
        <v>5.443105697</v>
      </c>
      <c r="T20">
        <v>0.48417884900001701</v>
      </c>
      <c r="U20" t="s">
        <v>59</v>
      </c>
      <c r="V20">
        <v>2685.5441444180601</v>
      </c>
      <c r="W20">
        <v>38.47884328703821</v>
      </c>
      <c r="AK20">
        <v>2685.5441444180601</v>
      </c>
      <c r="AL20">
        <v>38.47884328703821</v>
      </c>
      <c r="AM20" t="s">
        <v>125</v>
      </c>
      <c r="AN20">
        <v>13.09756018351</v>
      </c>
      <c r="AO20">
        <v>2</v>
      </c>
      <c r="AP20">
        <f t="shared" si="0"/>
        <v>3.9269137257791208E-2</v>
      </c>
    </row>
    <row r="21" spans="1:42" x14ac:dyDescent="0.2">
      <c r="A21" t="s">
        <v>60</v>
      </c>
      <c r="B21">
        <v>2020</v>
      </c>
      <c r="C21">
        <v>105.740682685747</v>
      </c>
      <c r="D21">
        <v>65.945008943884048</v>
      </c>
      <c r="E21">
        <v>3.2456156527191249</v>
      </c>
      <c r="F21">
        <v>1.8072178066276949</v>
      </c>
      <c r="G21">
        <v>10.363840891069019</v>
      </c>
      <c r="H21">
        <v>5.8273553764729744</v>
      </c>
      <c r="I21">
        <v>0.55322994080439636</v>
      </c>
      <c r="J21">
        <v>0.34886309999999998</v>
      </c>
      <c r="K21">
        <v>0.33800000000000002</v>
      </c>
      <c r="L21">
        <v>22.7</v>
      </c>
      <c r="M21">
        <v>0.16148376278451679</v>
      </c>
      <c r="N21">
        <v>37</v>
      </c>
      <c r="O21">
        <v>1</v>
      </c>
      <c r="P21">
        <v>41.736548839999998</v>
      </c>
      <c r="Q21">
        <v>35.157468848000001</v>
      </c>
      <c r="R21">
        <v>18.678506832</v>
      </c>
      <c r="S21">
        <v>4.0236412770000003</v>
      </c>
      <c r="T21">
        <v>0.4038342030000166</v>
      </c>
      <c r="U21" t="s">
        <v>60</v>
      </c>
      <c r="V21">
        <v>2118.9731977253591</v>
      </c>
      <c r="W21">
        <v>37.643754483051303</v>
      </c>
      <c r="X21">
        <v>11.92</v>
      </c>
      <c r="AA21">
        <v>2.2000000000000002</v>
      </c>
      <c r="AD21">
        <v>763.29</v>
      </c>
      <c r="AF21">
        <v>60.97</v>
      </c>
      <c r="AH21">
        <v>5.88</v>
      </c>
      <c r="AI21">
        <v>15.77</v>
      </c>
      <c r="AK21">
        <v>2118.9731977253591</v>
      </c>
      <c r="AL21">
        <v>37.643754483051303</v>
      </c>
      <c r="AM21" t="s">
        <v>122</v>
      </c>
      <c r="AN21">
        <v>13.20295580997</v>
      </c>
      <c r="AO21">
        <v>3</v>
      </c>
      <c r="AP21">
        <f t="shared" si="0"/>
        <v>0.10324380885943485</v>
      </c>
    </row>
    <row r="22" spans="1:42" x14ac:dyDescent="0.2">
      <c r="A22" t="s">
        <v>61</v>
      </c>
      <c r="B22">
        <v>2020</v>
      </c>
      <c r="C22">
        <v>171.64800638356229</v>
      </c>
      <c r="D22">
        <v>54.330099992519258</v>
      </c>
      <c r="E22">
        <v>11.859461885644469</v>
      </c>
      <c r="F22">
        <v>3.4710620153105758</v>
      </c>
      <c r="G22">
        <v>6.8723038176695006</v>
      </c>
      <c r="H22">
        <v>2.1245293369573348</v>
      </c>
      <c r="I22">
        <v>6.9820212951649502E-2</v>
      </c>
      <c r="J22">
        <v>0.53305990000000003</v>
      </c>
      <c r="K22">
        <v>0.35099999999999998</v>
      </c>
      <c r="L22">
        <v>10.199999999999999</v>
      </c>
      <c r="M22">
        <v>0.14721231423110659</v>
      </c>
      <c r="N22">
        <v>112</v>
      </c>
      <c r="O22">
        <v>3</v>
      </c>
      <c r="P22">
        <v>31.433103292999999</v>
      </c>
      <c r="Q22">
        <v>46.183771501999999</v>
      </c>
      <c r="R22">
        <v>18.663682649999998</v>
      </c>
      <c r="S22">
        <v>3.5384320119999999</v>
      </c>
      <c r="T22">
        <v>0.1810105429999993</v>
      </c>
      <c r="U22" t="s">
        <v>61</v>
      </c>
      <c r="V22">
        <v>2619.6045499006432</v>
      </c>
      <c r="W22">
        <v>35.030799253679739</v>
      </c>
      <c r="X22">
        <v>8.26</v>
      </c>
      <c r="AA22">
        <v>3.59</v>
      </c>
      <c r="AD22">
        <v>761.47</v>
      </c>
      <c r="AF22">
        <v>75.849999999999994</v>
      </c>
      <c r="AH22">
        <v>3.51</v>
      </c>
      <c r="AI22">
        <v>12.31</v>
      </c>
      <c r="AK22">
        <v>2619.6045499006432</v>
      </c>
      <c r="AL22">
        <v>35.030799253679739</v>
      </c>
      <c r="AM22" t="s">
        <v>127</v>
      </c>
      <c r="AN22">
        <v>12.92913167607</v>
      </c>
      <c r="AO22">
        <v>1</v>
      </c>
      <c r="AP22">
        <f t="shared" si="0"/>
        <v>4.0443953745133362E-2</v>
      </c>
    </row>
    <row r="23" spans="1:42" x14ac:dyDescent="0.2">
      <c r="A23" t="s">
        <v>62</v>
      </c>
      <c r="B23">
        <v>2020</v>
      </c>
      <c r="C23">
        <v>187.977611368109</v>
      </c>
      <c r="D23">
        <v>101.3047256370281</v>
      </c>
      <c r="E23">
        <v>10.28701408234723</v>
      </c>
      <c r="F23">
        <v>4.9837707976589058</v>
      </c>
      <c r="G23">
        <v>7.6673396887060088</v>
      </c>
      <c r="H23">
        <v>6.7408694763206984</v>
      </c>
      <c r="I23">
        <v>0.28752523832647531</v>
      </c>
      <c r="J23">
        <v>1.005493</v>
      </c>
      <c r="K23">
        <v>0.38200000000000001</v>
      </c>
      <c r="L23">
        <v>13.8</v>
      </c>
      <c r="M23">
        <v>0.15328967125219739</v>
      </c>
      <c r="N23">
        <v>44</v>
      </c>
      <c r="O23">
        <v>2</v>
      </c>
      <c r="P23">
        <v>35.959365542</v>
      </c>
      <c r="Q23">
        <v>44.392196306000002</v>
      </c>
      <c r="R23">
        <v>14.969714728</v>
      </c>
      <c r="S23">
        <v>4.0849580369999998</v>
      </c>
      <c r="T23">
        <v>0.5937653869999906</v>
      </c>
      <c r="U23" t="s">
        <v>62</v>
      </c>
      <c r="V23">
        <v>2335.188360817825</v>
      </c>
      <c r="W23">
        <v>29.390674373487052</v>
      </c>
      <c r="AK23">
        <v>2335.188360817825</v>
      </c>
      <c r="AL23">
        <v>29.390674373487052</v>
      </c>
      <c r="AM23" t="s">
        <v>124</v>
      </c>
      <c r="AN23">
        <v>12.97051947688</v>
      </c>
      <c r="AO23">
        <v>1</v>
      </c>
      <c r="AP23">
        <f t="shared" si="0"/>
        <v>4.2318150917743033E-2</v>
      </c>
    </row>
    <row r="24" spans="1:42" x14ac:dyDescent="0.2">
      <c r="A24" t="s">
        <v>63</v>
      </c>
      <c r="B24">
        <v>2020</v>
      </c>
      <c r="C24">
        <v>219.01625889158129</v>
      </c>
      <c r="D24">
        <v>78.623726517105709</v>
      </c>
      <c r="E24">
        <v>8.728731858568489</v>
      </c>
      <c r="F24">
        <v>4.5109304567602084</v>
      </c>
      <c r="G24">
        <v>7.1653768988248778</v>
      </c>
      <c r="H24">
        <v>3.191849709476537</v>
      </c>
      <c r="I24">
        <v>0.3094140024492561</v>
      </c>
      <c r="J24">
        <v>0.59111469999999999</v>
      </c>
      <c r="K24">
        <v>0.36099999999999999</v>
      </c>
      <c r="L24">
        <v>13.5</v>
      </c>
      <c r="M24">
        <v>0.1280521352917357</v>
      </c>
      <c r="N24">
        <v>81</v>
      </c>
      <c r="O24">
        <v>2</v>
      </c>
      <c r="P24">
        <v>26.931887365000001</v>
      </c>
      <c r="Q24">
        <v>51.260622847999997</v>
      </c>
      <c r="R24">
        <v>14.162007415</v>
      </c>
      <c r="S24">
        <v>7.2365498109999997</v>
      </c>
      <c r="T24">
        <v>0.40893256100000031</v>
      </c>
      <c r="U24" t="s">
        <v>63</v>
      </c>
      <c r="V24">
        <v>2852.2922221350859</v>
      </c>
      <c r="W24">
        <v>32.004088409066128</v>
      </c>
      <c r="X24">
        <v>6.49</v>
      </c>
      <c r="AA24">
        <v>2.38</v>
      </c>
      <c r="AD24">
        <v>758.18</v>
      </c>
      <c r="AF24">
        <v>78.09</v>
      </c>
      <c r="AH24">
        <v>3.34</v>
      </c>
      <c r="AI24">
        <v>12.39</v>
      </c>
      <c r="AK24">
        <v>2852.2922221350859</v>
      </c>
      <c r="AL24">
        <v>32.004088409066128</v>
      </c>
      <c r="AM24" t="s">
        <v>125</v>
      </c>
      <c r="AN24">
        <v>12.88205551769</v>
      </c>
      <c r="AO24">
        <v>1</v>
      </c>
      <c r="AP24">
        <f t="shared" si="0"/>
        <v>3.4128931519072057E-2</v>
      </c>
    </row>
    <row r="25" spans="1:42" x14ac:dyDescent="0.2">
      <c r="A25" t="s">
        <v>64</v>
      </c>
      <c r="B25">
        <v>2020</v>
      </c>
      <c r="C25">
        <v>194.63070582507541</v>
      </c>
      <c r="D25">
        <v>87.476588255035821</v>
      </c>
      <c r="E25">
        <v>9.0185540665514363</v>
      </c>
      <c r="F25">
        <v>3.2319307230570229</v>
      </c>
      <c r="G25">
        <v>3.9618429003248479</v>
      </c>
      <c r="H25">
        <v>1.81725557536268</v>
      </c>
      <c r="I25">
        <v>0.12792275271704159</v>
      </c>
      <c r="J25">
        <v>0.39661659999999999</v>
      </c>
      <c r="K25">
        <v>0.34300000000000003</v>
      </c>
      <c r="L25">
        <v>13.2</v>
      </c>
      <c r="M25">
        <v>0.15107302848177639</v>
      </c>
      <c r="N25">
        <v>255</v>
      </c>
      <c r="O25">
        <v>12</v>
      </c>
      <c r="P25">
        <v>27.589626454000001</v>
      </c>
      <c r="Q25">
        <v>50.046609216999997</v>
      </c>
      <c r="R25">
        <v>16.192694502999998</v>
      </c>
      <c r="S25">
        <v>5.9595424440000002</v>
      </c>
      <c r="T25">
        <v>0.21152738200001411</v>
      </c>
      <c r="U25" t="s">
        <v>64</v>
      </c>
      <c r="V25">
        <v>2547.3939038123508</v>
      </c>
      <c r="W25">
        <v>31.05708574281401</v>
      </c>
      <c r="AK25">
        <v>2547.3939038123508</v>
      </c>
      <c r="AL25">
        <v>31.05708574281401</v>
      </c>
      <c r="AM25" t="s">
        <v>123</v>
      </c>
      <c r="AN25">
        <v>13.06841449335</v>
      </c>
      <c r="AO25">
        <v>2</v>
      </c>
      <c r="AP25">
        <f t="shared" si="0"/>
        <v>2.1012951865455248E-2</v>
      </c>
    </row>
    <row r="26" spans="1:42" x14ac:dyDescent="0.2">
      <c r="A26" t="s">
        <v>65</v>
      </c>
      <c r="B26">
        <v>2020</v>
      </c>
      <c r="C26">
        <v>149.88094125326171</v>
      </c>
      <c r="D26">
        <v>67.181452500867394</v>
      </c>
      <c r="E26">
        <v>6.31336135399025</v>
      </c>
      <c r="F26">
        <v>2.0199587769981351</v>
      </c>
      <c r="G26">
        <v>5.8856053776847634</v>
      </c>
      <c r="H26">
        <v>2.5269288229898241</v>
      </c>
      <c r="I26">
        <v>7.9214069686200997E-3</v>
      </c>
      <c r="J26">
        <v>0.33563700000000002</v>
      </c>
      <c r="K26">
        <v>0.34200000000000003</v>
      </c>
      <c r="L26">
        <v>13.2</v>
      </c>
      <c r="M26">
        <v>0.12504737786573189</v>
      </c>
      <c r="N26">
        <v>214</v>
      </c>
      <c r="O26">
        <v>4</v>
      </c>
      <c r="P26">
        <v>26.737895105</v>
      </c>
      <c r="Q26">
        <v>46.392471958999998</v>
      </c>
      <c r="R26">
        <v>21.577914999000001</v>
      </c>
      <c r="S26">
        <v>5.1022105980000001</v>
      </c>
      <c r="T26">
        <v>0.18950733900000219</v>
      </c>
      <c r="U26" t="s">
        <v>65</v>
      </c>
      <c r="V26">
        <v>2622.674770775418</v>
      </c>
      <c r="W26">
        <v>33.534214234204299</v>
      </c>
      <c r="AK26">
        <v>2622.674770775418</v>
      </c>
      <c r="AL26">
        <v>33.534214234204299</v>
      </c>
      <c r="AM26" t="s">
        <v>126</v>
      </c>
      <c r="AN26">
        <v>13.01843296194</v>
      </c>
      <c r="AO26">
        <v>2</v>
      </c>
      <c r="AP26">
        <f t="shared" si="0"/>
        <v>3.9321388932931647E-2</v>
      </c>
    </row>
    <row r="27" spans="1:42" x14ac:dyDescent="0.2">
      <c r="A27" t="s">
        <v>66</v>
      </c>
      <c r="B27">
        <v>2020</v>
      </c>
      <c r="C27">
        <v>209.68392622304449</v>
      </c>
      <c r="D27">
        <v>98.28476988273836</v>
      </c>
      <c r="E27">
        <v>8.434159320294512</v>
      </c>
      <c r="F27">
        <v>4.1927034771406246</v>
      </c>
      <c r="G27">
        <v>7.641933372578988</v>
      </c>
      <c r="H27">
        <v>4.1439511111273619</v>
      </c>
      <c r="I27">
        <v>0.12188091503315771</v>
      </c>
      <c r="J27">
        <v>0.81021790000000005</v>
      </c>
      <c r="K27">
        <v>0.38700000000000001</v>
      </c>
      <c r="L27">
        <v>14.2</v>
      </c>
      <c r="M27">
        <v>0.13733357435905491</v>
      </c>
      <c r="N27">
        <v>123</v>
      </c>
      <c r="O27">
        <v>3</v>
      </c>
      <c r="P27">
        <v>29.79856977</v>
      </c>
      <c r="Q27">
        <v>50.285676004000003</v>
      </c>
      <c r="R27">
        <v>13.838928007</v>
      </c>
      <c r="S27">
        <v>5.9227203560000001</v>
      </c>
      <c r="T27">
        <v>0.15410586299999809</v>
      </c>
      <c r="U27" t="s">
        <v>117</v>
      </c>
      <c r="V27">
        <v>2422.3203198318529</v>
      </c>
      <c r="W27">
        <v>32.770947668416667</v>
      </c>
      <c r="AM27" t="s">
        <v>125</v>
      </c>
      <c r="AN27">
        <v>12.93429453105</v>
      </c>
      <c r="AO27">
        <v>1</v>
      </c>
      <c r="AP27">
        <f t="shared" si="0"/>
        <v>3.7026272959776799E-2</v>
      </c>
    </row>
    <row r="28" spans="1:42" x14ac:dyDescent="0.2">
      <c r="A28" t="s">
        <v>67</v>
      </c>
      <c r="B28">
        <v>2020</v>
      </c>
      <c r="C28">
        <v>143.89352447563491</v>
      </c>
      <c r="D28">
        <v>62.631732674439718</v>
      </c>
      <c r="E28">
        <v>7.1362599366893757</v>
      </c>
      <c r="F28">
        <v>2.6997797548094762</v>
      </c>
      <c r="G28">
        <v>7.0731071938868153</v>
      </c>
      <c r="H28">
        <v>3.189213511529323</v>
      </c>
      <c r="I28">
        <v>1.5788185700640198E-2</v>
      </c>
      <c r="J28">
        <v>0.34386840000000002</v>
      </c>
      <c r="K28">
        <v>0.34</v>
      </c>
      <c r="L28">
        <v>11.8</v>
      </c>
      <c r="M28">
        <v>0.1264465657025125</v>
      </c>
      <c r="N28">
        <v>113</v>
      </c>
      <c r="O28">
        <v>2</v>
      </c>
      <c r="P28">
        <v>25.228231877999999</v>
      </c>
      <c r="Q28">
        <v>56.448864950000001</v>
      </c>
      <c r="R28">
        <v>12.489222748</v>
      </c>
      <c r="S28">
        <v>5.7736803500000002</v>
      </c>
      <c r="T28">
        <v>6.000007399998708E-2</v>
      </c>
      <c r="U28" t="s">
        <v>67</v>
      </c>
      <c r="V28">
        <v>2725.6855383298289</v>
      </c>
      <c r="W28">
        <v>35.56672388539134</v>
      </c>
      <c r="AK28">
        <v>2725.6855383298289</v>
      </c>
      <c r="AL28">
        <v>35.56672388539134</v>
      </c>
      <c r="AM28" t="s">
        <v>127</v>
      </c>
      <c r="AN28">
        <v>12.954150788690001</v>
      </c>
      <c r="AO28">
        <v>1</v>
      </c>
      <c r="AP28">
        <f t="shared" si="0"/>
        <v>4.9264867237217465E-2</v>
      </c>
    </row>
    <row r="29" spans="1:42" x14ac:dyDescent="0.2">
      <c r="A29" t="s">
        <v>68</v>
      </c>
      <c r="B29">
        <v>2020</v>
      </c>
      <c r="C29">
        <v>129.538353001042</v>
      </c>
      <c r="D29">
        <v>49.562484957171783</v>
      </c>
      <c r="E29">
        <v>4.4066897108993066</v>
      </c>
      <c r="F29">
        <v>2.05622026894022</v>
      </c>
      <c r="G29">
        <v>6.2990466679188408</v>
      </c>
      <c r="H29">
        <v>2.5266665515512221</v>
      </c>
      <c r="I29">
        <v>0.149767543153315</v>
      </c>
      <c r="J29">
        <v>0.45948109999999998</v>
      </c>
      <c r="K29">
        <v>0.39700000000000002</v>
      </c>
      <c r="L29">
        <v>10.6</v>
      </c>
      <c r="M29">
        <v>0.15332091150621779</v>
      </c>
      <c r="N29">
        <v>588</v>
      </c>
      <c r="O29">
        <v>17</v>
      </c>
      <c r="P29">
        <v>27.222041776000001</v>
      </c>
      <c r="Q29">
        <v>46.028069940999998</v>
      </c>
      <c r="R29">
        <v>23.17367724</v>
      </c>
      <c r="S29">
        <v>3.5037246839999998</v>
      </c>
      <c r="T29">
        <v>7.2486358999995559E-2</v>
      </c>
      <c r="U29" t="s">
        <v>68</v>
      </c>
      <c r="V29">
        <v>2582.418634423399</v>
      </c>
      <c r="W29">
        <v>36.591466532618021</v>
      </c>
      <c r="X29">
        <v>14.07</v>
      </c>
      <c r="AA29">
        <v>7.93</v>
      </c>
      <c r="AD29">
        <v>762</v>
      </c>
      <c r="AF29">
        <v>69.900000000000006</v>
      </c>
      <c r="AH29">
        <v>3.87</v>
      </c>
      <c r="AI29">
        <v>14.24</v>
      </c>
      <c r="AK29">
        <v>2582.418634423399</v>
      </c>
      <c r="AL29">
        <v>36.591466532618021</v>
      </c>
      <c r="AM29" t="s">
        <v>122</v>
      </c>
      <c r="AN29">
        <v>13.118511934700001</v>
      </c>
      <c r="AO29">
        <v>2</v>
      </c>
      <c r="AP29">
        <f t="shared" si="0"/>
        <v>4.978304927977803E-2</v>
      </c>
    </row>
    <row r="30" spans="1:42" x14ac:dyDescent="0.2">
      <c r="A30" t="s">
        <v>69</v>
      </c>
      <c r="B30">
        <v>2020</v>
      </c>
      <c r="C30">
        <v>167.99621806154721</v>
      </c>
      <c r="D30">
        <v>72.512738747948106</v>
      </c>
      <c r="E30">
        <v>8.9803593888192079</v>
      </c>
      <c r="F30">
        <v>3.590050431660825</v>
      </c>
      <c r="G30">
        <v>5.1530655855811851</v>
      </c>
      <c r="H30">
        <v>2.0654128819661892</v>
      </c>
      <c r="I30">
        <v>4.1866477337152402E-2</v>
      </c>
      <c r="J30">
        <v>0.95042740000000003</v>
      </c>
      <c r="K30">
        <v>0.38400000000000001</v>
      </c>
      <c r="L30">
        <v>17</v>
      </c>
      <c r="M30">
        <v>0.16320018940976569</v>
      </c>
      <c r="N30">
        <v>373</v>
      </c>
      <c r="O30">
        <v>7</v>
      </c>
      <c r="P30">
        <v>32.880604675000001</v>
      </c>
      <c r="Q30">
        <v>40.044195438999999</v>
      </c>
      <c r="R30">
        <v>20.370962589000001</v>
      </c>
      <c r="S30">
        <v>6.1467860740000004</v>
      </c>
      <c r="T30">
        <v>0.55745122300000105</v>
      </c>
      <c r="U30" t="s">
        <v>69</v>
      </c>
      <c r="V30">
        <v>2556.3685708760281</v>
      </c>
      <c r="W30">
        <v>30.21520302839345</v>
      </c>
      <c r="X30">
        <v>-3.72</v>
      </c>
      <c r="AA30">
        <v>-7.25</v>
      </c>
      <c r="AD30">
        <v>756.29</v>
      </c>
      <c r="AF30">
        <v>78.94</v>
      </c>
      <c r="AH30">
        <v>7.02</v>
      </c>
      <c r="AI30">
        <v>17.8</v>
      </c>
      <c r="AK30">
        <v>2556.3685708760281</v>
      </c>
      <c r="AL30">
        <v>30.21520302839345</v>
      </c>
      <c r="AM30" t="s">
        <v>123</v>
      </c>
      <c r="AN30">
        <v>12.70943326694</v>
      </c>
      <c r="AO30">
        <v>1</v>
      </c>
      <c r="AP30">
        <f t="shared" si="0"/>
        <v>3.0922910782522014E-2</v>
      </c>
    </row>
    <row r="31" spans="1:42" x14ac:dyDescent="0.2">
      <c r="A31" t="s">
        <v>70</v>
      </c>
      <c r="B31">
        <v>2020</v>
      </c>
      <c r="C31">
        <v>113.3627031373685</v>
      </c>
      <c r="D31">
        <v>56.649981020818537</v>
      </c>
      <c r="E31">
        <v>4.5121304680172036</v>
      </c>
      <c r="F31">
        <v>2.4939585553235299</v>
      </c>
      <c r="G31">
        <v>5.0924856035327419</v>
      </c>
      <c r="H31">
        <v>3.1997958823018871</v>
      </c>
      <c r="I31">
        <v>0.245735958281354</v>
      </c>
      <c r="J31">
        <v>0.26722079999999998</v>
      </c>
      <c r="K31">
        <v>0.33</v>
      </c>
      <c r="L31">
        <v>17.5</v>
      </c>
      <c r="M31">
        <v>0.14471920892589091</v>
      </c>
      <c r="N31">
        <v>242</v>
      </c>
      <c r="O31">
        <v>7</v>
      </c>
      <c r="P31">
        <v>31.518609888</v>
      </c>
      <c r="Q31">
        <v>44.747704951000003</v>
      </c>
      <c r="R31">
        <v>21.923149308999999</v>
      </c>
      <c r="S31">
        <v>1.791018996</v>
      </c>
      <c r="T31">
        <v>1.9516855999995641E-2</v>
      </c>
      <c r="U31" t="s">
        <v>70</v>
      </c>
      <c r="V31">
        <v>2488.410885514606</v>
      </c>
      <c r="W31">
        <v>45.905699224241062</v>
      </c>
      <c r="AK31">
        <v>2488.410885514606</v>
      </c>
      <c r="AL31">
        <v>45.905699224241062</v>
      </c>
      <c r="AM31" t="s">
        <v>122</v>
      </c>
      <c r="AN31">
        <v>13.36751624915</v>
      </c>
      <c r="AO31">
        <v>3</v>
      </c>
      <c r="AP31">
        <f t="shared" si="0"/>
        <v>4.7089751867908855E-2</v>
      </c>
    </row>
    <row r="32" spans="1:42" x14ac:dyDescent="0.2">
      <c r="A32" t="s">
        <v>71</v>
      </c>
      <c r="B32">
        <v>2020</v>
      </c>
      <c r="C32">
        <v>189.27276991559131</v>
      </c>
      <c r="D32">
        <v>88.470754358859054</v>
      </c>
      <c r="E32">
        <v>17.21540778997203</v>
      </c>
      <c r="F32">
        <v>3.3971415652964461</v>
      </c>
      <c r="G32">
        <v>9.3330722007432598</v>
      </c>
      <c r="H32">
        <v>3.215799488857134</v>
      </c>
      <c r="I32">
        <v>0.42313151169172808</v>
      </c>
      <c r="J32">
        <v>0.30242819999999998</v>
      </c>
      <c r="K32">
        <v>0.35299999999999998</v>
      </c>
      <c r="L32">
        <v>18.600000000000001</v>
      </c>
      <c r="M32">
        <v>0.1259875</v>
      </c>
      <c r="N32">
        <v>159</v>
      </c>
      <c r="O32">
        <v>3</v>
      </c>
      <c r="P32">
        <v>24.748651185</v>
      </c>
      <c r="Q32">
        <v>47.035461689999998</v>
      </c>
      <c r="R32">
        <v>18.396133222</v>
      </c>
      <c r="S32">
        <v>9.323215179</v>
      </c>
      <c r="T32">
        <v>0.49653872399998988</v>
      </c>
      <c r="U32" t="s">
        <v>71</v>
      </c>
      <c r="V32">
        <v>2643.6423637840539</v>
      </c>
      <c r="W32">
        <v>37.686404422017027</v>
      </c>
      <c r="AK32">
        <v>2643.6423637840539</v>
      </c>
      <c r="AL32">
        <v>37.686404422017027</v>
      </c>
      <c r="AM32" t="s">
        <v>128</v>
      </c>
      <c r="AN32">
        <v>13.1276466021</v>
      </c>
      <c r="AO32">
        <v>2</v>
      </c>
      <c r="AP32">
        <f t="shared" si="0"/>
        <v>5.1545733265201836E-2</v>
      </c>
    </row>
    <row r="33" spans="1:42" x14ac:dyDescent="0.2">
      <c r="A33" t="s">
        <v>72</v>
      </c>
      <c r="B33">
        <v>2020</v>
      </c>
      <c r="C33">
        <v>125.9320584633445</v>
      </c>
      <c r="D33">
        <v>55.153585843580842</v>
      </c>
      <c r="E33">
        <v>5.3441641727233868</v>
      </c>
      <c r="F33">
        <v>2.083318236824371</v>
      </c>
      <c r="G33">
        <v>5.3803957942333742</v>
      </c>
      <c r="H33">
        <v>1.8659285077644361</v>
      </c>
      <c r="I33">
        <v>0.1177527699074644</v>
      </c>
      <c r="J33">
        <v>0.47736269999999997</v>
      </c>
      <c r="K33">
        <v>0.36299999999999999</v>
      </c>
      <c r="L33">
        <v>9.9</v>
      </c>
      <c r="M33">
        <v>0.14480910345053369</v>
      </c>
      <c r="N33">
        <v>174</v>
      </c>
      <c r="O33">
        <v>8</v>
      </c>
      <c r="P33">
        <v>35.845609740999997</v>
      </c>
      <c r="Q33">
        <v>50.181722417000003</v>
      </c>
      <c r="R33">
        <v>10.787658613</v>
      </c>
      <c r="S33">
        <v>3.0601611439999998</v>
      </c>
      <c r="T33">
        <v>0.12484808499998221</v>
      </c>
      <c r="U33" t="s">
        <v>72</v>
      </c>
      <c r="V33">
        <v>2968.7813159617031</v>
      </c>
      <c r="W33">
        <v>35.856457515583742</v>
      </c>
      <c r="AK33">
        <v>2968.7813159617031</v>
      </c>
      <c r="AL33">
        <v>35.856457515583742</v>
      </c>
      <c r="AM33" t="s">
        <v>127</v>
      </c>
      <c r="AN33">
        <v>13.20951762857</v>
      </c>
      <c r="AO33">
        <v>3</v>
      </c>
      <c r="AP33">
        <f t="shared" si="0"/>
        <v>4.3659641803927188E-2</v>
      </c>
    </row>
    <row r="34" spans="1:42" x14ac:dyDescent="0.2">
      <c r="A34" t="s">
        <v>73</v>
      </c>
      <c r="B34">
        <v>2020</v>
      </c>
      <c r="C34">
        <v>146.20933624469049</v>
      </c>
      <c r="D34">
        <v>42.263011548762393</v>
      </c>
      <c r="E34">
        <v>6.1677982293034921</v>
      </c>
      <c r="F34">
        <v>2.8679995223554702</v>
      </c>
      <c r="G34">
        <v>8.817232732297299</v>
      </c>
      <c r="H34">
        <v>1.700542467716347</v>
      </c>
      <c r="I34">
        <v>0.1226096450077617</v>
      </c>
      <c r="J34">
        <v>0.63063840000000004</v>
      </c>
      <c r="K34">
        <v>0.34799999999999998</v>
      </c>
      <c r="L34">
        <v>9.1</v>
      </c>
      <c r="M34">
        <v>0.16316989433822221</v>
      </c>
      <c r="N34">
        <v>155</v>
      </c>
      <c r="O34">
        <v>1</v>
      </c>
      <c r="P34">
        <v>30.849410635000002</v>
      </c>
      <c r="Q34">
        <v>48.527670090000001</v>
      </c>
      <c r="R34">
        <v>16.959088850000001</v>
      </c>
      <c r="S34">
        <v>3.5916980930000002</v>
      </c>
      <c r="T34">
        <v>7.2132331999995358E-2</v>
      </c>
      <c r="U34" t="s">
        <v>73</v>
      </c>
      <c r="V34">
        <v>2592.381344067458</v>
      </c>
      <c r="W34">
        <v>35.345697095144537</v>
      </c>
      <c r="AK34">
        <v>2592.381344067458</v>
      </c>
      <c r="AL34">
        <v>35.345697095144537</v>
      </c>
      <c r="AM34" t="s">
        <v>125</v>
      </c>
      <c r="AN34">
        <v>13.437468631690001</v>
      </c>
      <c r="AO34">
        <v>3</v>
      </c>
      <c r="AP34">
        <f t="shared" si="0"/>
        <v>6.1144128049002794E-2</v>
      </c>
    </row>
    <row r="35" spans="1:42" x14ac:dyDescent="0.2">
      <c r="A35" t="s">
        <v>74</v>
      </c>
      <c r="B35">
        <v>2020</v>
      </c>
      <c r="C35">
        <v>116.15180656695669</v>
      </c>
      <c r="D35">
        <v>54.731952981074642</v>
      </c>
      <c r="E35">
        <v>7.2496140414316317</v>
      </c>
      <c r="F35">
        <v>1.7114706272144891</v>
      </c>
      <c r="G35">
        <v>4.783340983753317</v>
      </c>
      <c r="H35">
        <v>1.913336393501327</v>
      </c>
      <c r="I35">
        <v>0.2720799458648675</v>
      </c>
      <c r="J35">
        <v>0.53523750000000003</v>
      </c>
      <c r="K35">
        <v>0.377</v>
      </c>
      <c r="L35">
        <v>8.6</v>
      </c>
      <c r="M35">
        <v>0.1419060093871613</v>
      </c>
      <c r="N35">
        <v>96</v>
      </c>
      <c r="O35">
        <v>4</v>
      </c>
      <c r="P35">
        <v>30.013805870999999</v>
      </c>
      <c r="Q35">
        <v>53.138130287999999</v>
      </c>
      <c r="R35">
        <v>14.723225352</v>
      </c>
      <c r="S35">
        <v>1.8988296440000001</v>
      </c>
      <c r="T35">
        <v>0.22600884499999549</v>
      </c>
      <c r="U35" t="s">
        <v>74</v>
      </c>
      <c r="V35">
        <v>2615.3934511023031</v>
      </c>
      <c r="W35">
        <v>36.404152708093129</v>
      </c>
      <c r="X35">
        <v>8.1199999999999992</v>
      </c>
      <c r="AA35">
        <v>2.29</v>
      </c>
      <c r="AD35">
        <v>762.47</v>
      </c>
      <c r="AF35">
        <v>71.739999999999995</v>
      </c>
      <c r="AH35">
        <v>4.5</v>
      </c>
      <c r="AI35">
        <v>13.72</v>
      </c>
      <c r="AK35">
        <v>2615.3934511023031</v>
      </c>
      <c r="AL35">
        <v>36.404152708093129</v>
      </c>
      <c r="AM35" t="s">
        <v>127</v>
      </c>
      <c r="AN35">
        <v>12.917882412759999</v>
      </c>
      <c r="AO35">
        <v>1</v>
      </c>
      <c r="AP35">
        <f t="shared" si="0"/>
        <v>4.352425570500227E-2</v>
      </c>
    </row>
    <row r="36" spans="1:42" x14ac:dyDescent="0.2">
      <c r="A36" t="s">
        <v>75</v>
      </c>
      <c r="B36">
        <v>2020</v>
      </c>
      <c r="C36">
        <v>189.0131217489957</v>
      </c>
      <c r="D36">
        <v>94.185474031209637</v>
      </c>
      <c r="E36">
        <v>13.34294215442136</v>
      </c>
      <c r="F36">
        <v>7.2066158160243736</v>
      </c>
      <c r="G36">
        <v>14.69864215941605</v>
      </c>
      <c r="H36">
        <v>7.3493210797080257</v>
      </c>
      <c r="I36">
        <v>0.28541052736730188</v>
      </c>
      <c r="J36">
        <v>2.0663803999999999</v>
      </c>
      <c r="K36">
        <v>0.39200000000000002</v>
      </c>
      <c r="L36">
        <v>8.6</v>
      </c>
      <c r="M36">
        <v>0.1481257077734259</v>
      </c>
      <c r="N36">
        <v>28</v>
      </c>
      <c r="O36">
        <v>1</v>
      </c>
      <c r="P36">
        <v>39.789381859999999</v>
      </c>
      <c r="Q36">
        <v>44.570645409000001</v>
      </c>
      <c r="R36">
        <v>13.670620414</v>
      </c>
      <c r="S36">
        <v>1.8467022259999999</v>
      </c>
      <c r="T36">
        <v>0.12265009099999701</v>
      </c>
      <c r="U36" t="s">
        <v>75</v>
      </c>
      <c r="V36">
        <v>2650.0910451161708</v>
      </c>
      <c r="W36">
        <v>33.286205454718953</v>
      </c>
      <c r="AK36">
        <v>2650.0910451161708</v>
      </c>
      <c r="AL36">
        <v>33.286205454718953</v>
      </c>
      <c r="AM36" t="s">
        <v>124</v>
      </c>
      <c r="AN36">
        <v>13.357469955479999</v>
      </c>
      <c r="AO36">
        <v>3</v>
      </c>
      <c r="AP36">
        <f t="shared" si="0"/>
        <v>7.9275198187995471E-2</v>
      </c>
    </row>
    <row r="37" spans="1:42" x14ac:dyDescent="0.2">
      <c r="A37" t="s">
        <v>76</v>
      </c>
      <c r="B37">
        <v>2020</v>
      </c>
      <c r="C37">
        <v>111.816454401347</v>
      </c>
      <c r="D37">
        <v>48.203091768383771</v>
      </c>
      <c r="E37">
        <v>5.1220384535565051</v>
      </c>
      <c r="F37">
        <v>1.9281236707353511</v>
      </c>
      <c r="G37">
        <v>6.2848000565190443</v>
      </c>
      <c r="H37">
        <v>2.163619691588524</v>
      </c>
      <c r="I37">
        <v>1.47185013033232E-2</v>
      </c>
      <c r="J37">
        <v>0.29041220000000001</v>
      </c>
      <c r="K37">
        <v>0.35299999999999998</v>
      </c>
      <c r="L37">
        <v>19.5</v>
      </c>
      <c r="M37">
        <v>0.14996261542761069</v>
      </c>
      <c r="N37">
        <v>100</v>
      </c>
      <c r="O37">
        <v>3</v>
      </c>
      <c r="P37">
        <v>29.441614964999999</v>
      </c>
      <c r="Q37">
        <v>42.836844902999999</v>
      </c>
      <c r="R37">
        <v>23.159014332000002</v>
      </c>
      <c r="S37">
        <v>4.0571544419999999</v>
      </c>
      <c r="T37">
        <v>0.50537135800000499</v>
      </c>
      <c r="U37" t="s">
        <v>118</v>
      </c>
      <c r="V37">
        <v>2613.1510829457529</v>
      </c>
      <c r="W37">
        <v>37.384835895194421</v>
      </c>
      <c r="AM37" t="s">
        <v>126</v>
      </c>
      <c r="AN37">
        <v>13.86079969455</v>
      </c>
      <c r="AO37">
        <v>3</v>
      </c>
      <c r="AP37">
        <f t="shared" si="0"/>
        <v>5.63380281690141E-2</v>
      </c>
    </row>
    <row r="38" spans="1:42" x14ac:dyDescent="0.2">
      <c r="A38" t="s">
        <v>77</v>
      </c>
      <c r="B38">
        <v>2020</v>
      </c>
      <c r="C38">
        <v>104.5055853160668</v>
      </c>
      <c r="D38">
        <v>57.340131638059873</v>
      </c>
      <c r="E38">
        <v>7.3652519561577687</v>
      </c>
      <c r="F38">
        <v>1.708434732098451</v>
      </c>
      <c r="G38">
        <v>11.351599664387489</v>
      </c>
      <c r="H38">
        <v>5.188579556743445</v>
      </c>
      <c r="I38">
        <v>0.35434201850930841</v>
      </c>
      <c r="J38">
        <v>0.33555950000000001</v>
      </c>
      <c r="K38">
        <v>0.34699999999999998</v>
      </c>
      <c r="L38">
        <v>17.8</v>
      </c>
      <c r="M38">
        <v>0.15337931621428469</v>
      </c>
      <c r="N38">
        <v>96</v>
      </c>
      <c r="O38">
        <v>2</v>
      </c>
      <c r="P38">
        <v>39.190778193</v>
      </c>
      <c r="Q38">
        <v>42.069385240000003</v>
      </c>
      <c r="R38">
        <v>16.553432614999998</v>
      </c>
      <c r="S38">
        <v>2.0299879920000001</v>
      </c>
      <c r="T38">
        <v>0.15641596000000391</v>
      </c>
      <c r="U38" t="s">
        <v>77</v>
      </c>
      <c r="V38">
        <v>3023.9848041680129</v>
      </c>
      <c r="W38">
        <v>41.745793731904563</v>
      </c>
      <c r="AK38">
        <v>3023.9848041680129</v>
      </c>
      <c r="AL38">
        <v>41.745793731904563</v>
      </c>
      <c r="AM38" t="s">
        <v>126</v>
      </c>
      <c r="AN38">
        <v>13.48784412949</v>
      </c>
      <c r="AO38">
        <v>3</v>
      </c>
      <c r="AP38">
        <f t="shared" si="0"/>
        <v>0.11201259384838941</v>
      </c>
    </row>
    <row r="39" spans="1:42" x14ac:dyDescent="0.2">
      <c r="A39" t="s">
        <v>78</v>
      </c>
      <c r="B39">
        <v>2020</v>
      </c>
      <c r="C39">
        <v>115.6003208372499</v>
      </c>
      <c r="D39">
        <v>23.73861213516653</v>
      </c>
      <c r="E39">
        <v>5.5173973911978313</v>
      </c>
      <c r="F39">
        <v>1.8488605410961709</v>
      </c>
      <c r="G39">
        <v>9.2632330181883233</v>
      </c>
      <c r="H39">
        <v>2.1556893595630688</v>
      </c>
      <c r="I39">
        <v>0.19561323131051639</v>
      </c>
      <c r="J39">
        <v>1.5629636</v>
      </c>
      <c r="K39">
        <v>0.41</v>
      </c>
      <c r="L39">
        <v>6.1</v>
      </c>
      <c r="M39">
        <v>0.15725517890517571</v>
      </c>
      <c r="N39">
        <v>418</v>
      </c>
      <c r="O39">
        <v>144</v>
      </c>
      <c r="P39">
        <v>51.261436005999997</v>
      </c>
      <c r="Q39">
        <v>41.825152684000003</v>
      </c>
      <c r="R39">
        <v>5.6385456339999998</v>
      </c>
      <c r="S39">
        <v>1.2615959590000001</v>
      </c>
      <c r="T39">
        <v>1.3269717000000011E-2</v>
      </c>
      <c r="U39" t="s">
        <v>78</v>
      </c>
      <c r="V39">
        <v>2485.6075789217039</v>
      </c>
      <c r="W39">
        <v>31.169159079945391</v>
      </c>
      <c r="X39">
        <v>7.67</v>
      </c>
      <c r="Y39">
        <v>4.4400000000000004</v>
      </c>
      <c r="Z39">
        <v>11.18</v>
      </c>
      <c r="AA39">
        <v>2.61</v>
      </c>
      <c r="AC39">
        <v>744.47</v>
      </c>
      <c r="AD39">
        <v>761.62</v>
      </c>
      <c r="AF39">
        <v>73.81</v>
      </c>
      <c r="AG39">
        <v>12</v>
      </c>
      <c r="AH39">
        <v>4.42</v>
      </c>
      <c r="AI39">
        <v>11.11</v>
      </c>
      <c r="AJ39">
        <v>12.22</v>
      </c>
      <c r="AK39">
        <v>2485.6075789217039</v>
      </c>
      <c r="AL39">
        <v>31.169159079945391</v>
      </c>
      <c r="AM39" t="s">
        <v>127</v>
      </c>
      <c r="AN39">
        <v>13.27138149446</v>
      </c>
      <c r="AO39">
        <v>3</v>
      </c>
      <c r="AP39">
        <f t="shared" si="0"/>
        <v>8.1823702399716147E-2</v>
      </c>
    </row>
    <row r="40" spans="1:42" x14ac:dyDescent="0.2">
      <c r="A40" t="s">
        <v>79</v>
      </c>
      <c r="B40">
        <v>2020</v>
      </c>
      <c r="C40">
        <v>96.141356308128238</v>
      </c>
      <c r="D40">
        <v>51.366147076082363</v>
      </c>
      <c r="E40">
        <v>6.5766351578489957</v>
      </c>
      <c r="F40">
        <v>3.0776780187086938</v>
      </c>
      <c r="G40">
        <v>4.8902184319236994</v>
      </c>
      <c r="H40">
        <v>2.6186918165100588</v>
      </c>
      <c r="I40">
        <v>0.2106395602158041</v>
      </c>
      <c r="J40">
        <v>0.64320809999999995</v>
      </c>
      <c r="K40">
        <v>0.36499999999999999</v>
      </c>
      <c r="L40">
        <v>7.4</v>
      </c>
      <c r="M40">
        <v>0.15488068549007861</v>
      </c>
      <c r="N40">
        <v>421</v>
      </c>
      <c r="O40">
        <v>24</v>
      </c>
      <c r="P40">
        <v>42.769249772999999</v>
      </c>
      <c r="Q40">
        <v>41.136341524000002</v>
      </c>
      <c r="R40">
        <v>14.02268585</v>
      </c>
      <c r="S40">
        <v>1.987358156</v>
      </c>
      <c r="T40">
        <v>8.4364696999998046E-2</v>
      </c>
      <c r="U40" t="s">
        <v>79</v>
      </c>
      <c r="V40">
        <v>2749.7786826264528</v>
      </c>
      <c r="W40">
        <v>28.71137579837735</v>
      </c>
      <c r="AK40">
        <v>2749.7786826264528</v>
      </c>
      <c r="AL40">
        <v>28.71137579837735</v>
      </c>
      <c r="AM40" t="s">
        <v>127</v>
      </c>
      <c r="AN40">
        <v>13.21048397231</v>
      </c>
      <c r="AO40">
        <v>3</v>
      </c>
      <c r="AP40">
        <f t="shared" si="0"/>
        <v>5.3055814771236519E-2</v>
      </c>
    </row>
    <row r="41" spans="1:42" x14ac:dyDescent="0.2">
      <c r="A41" t="s">
        <v>80</v>
      </c>
      <c r="B41">
        <v>2020</v>
      </c>
      <c r="C41">
        <v>164.93032139022719</v>
      </c>
      <c r="D41">
        <v>63.811363305296432</v>
      </c>
      <c r="E41">
        <v>7.3644059109473377</v>
      </c>
      <c r="F41">
        <v>3.102222270179281</v>
      </c>
      <c r="G41">
        <v>4.4375266386477552</v>
      </c>
      <c r="H41">
        <v>2.104115974556382</v>
      </c>
      <c r="I41">
        <v>4.04637687414688E-2</v>
      </c>
      <c r="J41">
        <v>1.1649182</v>
      </c>
      <c r="K41">
        <v>0.34899999999999998</v>
      </c>
      <c r="L41">
        <v>9.4</v>
      </c>
      <c r="M41">
        <v>0.14743297122385299</v>
      </c>
      <c r="N41">
        <v>81</v>
      </c>
      <c r="O41">
        <v>4</v>
      </c>
      <c r="P41">
        <v>35.383699634999999</v>
      </c>
      <c r="Q41">
        <v>46.675223502999998</v>
      </c>
      <c r="R41">
        <v>14.185437237</v>
      </c>
      <c r="S41">
        <v>3.7084762549999999</v>
      </c>
      <c r="T41">
        <v>4.7163370000006921E-2</v>
      </c>
      <c r="U41" t="s">
        <v>80</v>
      </c>
      <c r="V41">
        <v>2363.914251942394</v>
      </c>
      <c r="W41">
        <v>26.00375743932873</v>
      </c>
      <c r="X41">
        <v>1.77</v>
      </c>
      <c r="Y41">
        <v>-2.5</v>
      </c>
      <c r="Z41">
        <v>5.1100000000000003</v>
      </c>
      <c r="AC41">
        <v>748.14</v>
      </c>
      <c r="AF41">
        <v>80.08</v>
      </c>
      <c r="AH41">
        <v>2.5</v>
      </c>
      <c r="AK41">
        <v>2363.914251942394</v>
      </c>
      <c r="AL41">
        <v>26.00375743932873</v>
      </c>
      <c r="AM41" t="s">
        <v>125</v>
      </c>
      <c r="AN41">
        <v>12.958240948829999</v>
      </c>
      <c r="AO41">
        <v>1</v>
      </c>
      <c r="AP41">
        <f t="shared" si="0"/>
        <v>2.7150801439319593E-2</v>
      </c>
    </row>
    <row r="42" spans="1:42" x14ac:dyDescent="0.2">
      <c r="A42" t="s">
        <v>81</v>
      </c>
      <c r="B42">
        <v>2020</v>
      </c>
      <c r="C42">
        <v>132.18143546597409</v>
      </c>
      <c r="D42">
        <v>50.378620182794208</v>
      </c>
      <c r="E42">
        <v>9.4132089644970591</v>
      </c>
      <c r="F42">
        <v>2.2291977448261702</v>
      </c>
      <c r="G42">
        <v>8.2642667094606033</v>
      </c>
      <c r="H42">
        <v>3.1533469499641891</v>
      </c>
      <c r="I42">
        <v>0.1311292791074217</v>
      </c>
      <c r="J42">
        <v>0.50654169999999998</v>
      </c>
      <c r="K42">
        <v>0.38500000000000001</v>
      </c>
      <c r="L42">
        <v>9.4</v>
      </c>
      <c r="M42">
        <v>0.1448853889724277</v>
      </c>
      <c r="N42">
        <v>311</v>
      </c>
      <c r="O42">
        <v>10</v>
      </c>
      <c r="P42">
        <v>33.375528551000002</v>
      </c>
      <c r="Q42">
        <v>46.923672623000002</v>
      </c>
      <c r="R42">
        <v>17.053648329000001</v>
      </c>
      <c r="S42">
        <v>2.4457982519999999</v>
      </c>
      <c r="T42">
        <v>0.20135224499999541</v>
      </c>
      <c r="U42" t="s">
        <v>81</v>
      </c>
      <c r="V42">
        <v>2966.777600547086</v>
      </c>
      <c r="W42">
        <v>36.521312580790003</v>
      </c>
      <c r="AK42">
        <v>2966.777600547086</v>
      </c>
      <c r="AL42">
        <v>36.521312580790003</v>
      </c>
      <c r="AM42" t="s">
        <v>126</v>
      </c>
      <c r="AN42">
        <v>12.91055184671</v>
      </c>
      <c r="AO42">
        <v>1</v>
      </c>
      <c r="AP42">
        <f t="shared" si="0"/>
        <v>6.3514183810851055E-2</v>
      </c>
    </row>
    <row r="43" spans="1:42" x14ac:dyDescent="0.2">
      <c r="A43" t="s">
        <v>82</v>
      </c>
      <c r="B43">
        <v>2020</v>
      </c>
      <c r="C43">
        <v>189.73760620142559</v>
      </c>
      <c r="D43">
        <v>69.571573222823488</v>
      </c>
      <c r="E43">
        <v>14.283127803818219</v>
      </c>
      <c r="F43">
        <v>3.2019687917010331</v>
      </c>
      <c r="G43">
        <v>6.202766769263782</v>
      </c>
      <c r="H43">
        <v>2.51463517672856</v>
      </c>
      <c r="I43">
        <v>0.26822775218437972</v>
      </c>
      <c r="J43">
        <v>0.47360010000000002</v>
      </c>
      <c r="K43">
        <v>0.33600000000000002</v>
      </c>
      <c r="L43">
        <v>13.6</v>
      </c>
      <c r="M43">
        <v>0.1360051819851793</v>
      </c>
      <c r="N43">
        <v>79</v>
      </c>
      <c r="O43">
        <v>1</v>
      </c>
      <c r="P43">
        <v>26.562640956999999</v>
      </c>
      <c r="Q43">
        <v>51.885292274999998</v>
      </c>
      <c r="R43">
        <v>15.087435028</v>
      </c>
      <c r="S43">
        <v>6.2110737370000004</v>
      </c>
      <c r="T43">
        <v>0.25355800299999492</v>
      </c>
      <c r="U43" t="s">
        <v>82</v>
      </c>
      <c r="V43">
        <v>2624.1260861798901</v>
      </c>
      <c r="W43">
        <v>32.228532590184628</v>
      </c>
      <c r="AK43">
        <v>2624.1260861798901</v>
      </c>
      <c r="AL43">
        <v>32.228532590184628</v>
      </c>
      <c r="AM43" t="s">
        <v>125</v>
      </c>
      <c r="AN43">
        <v>12.88702916958</v>
      </c>
      <c r="AO43">
        <v>1</v>
      </c>
      <c r="AP43">
        <f t="shared" si="0"/>
        <v>3.4104965541615136E-2</v>
      </c>
    </row>
    <row r="44" spans="1:42" x14ac:dyDescent="0.2">
      <c r="A44" t="s">
        <v>83</v>
      </c>
      <c r="B44">
        <v>2020</v>
      </c>
      <c r="C44">
        <v>193.02973014505909</v>
      </c>
      <c r="D44">
        <v>49.435881308140672</v>
      </c>
      <c r="E44">
        <v>5.5536296936926641</v>
      </c>
      <c r="F44">
        <v>2.651733096988389</v>
      </c>
      <c r="G44">
        <v>7.948051762401855</v>
      </c>
      <c r="H44">
        <v>2.3300943116393928</v>
      </c>
      <c r="I44">
        <v>5.7180228506488101E-2</v>
      </c>
      <c r="J44">
        <v>0.48395159999999998</v>
      </c>
      <c r="K44">
        <v>0.371</v>
      </c>
      <c r="L44">
        <v>13.8</v>
      </c>
      <c r="M44">
        <v>0.15628387085762069</v>
      </c>
      <c r="N44">
        <v>219</v>
      </c>
      <c r="O44">
        <v>7</v>
      </c>
      <c r="P44">
        <v>31.522044008000002</v>
      </c>
      <c r="Q44">
        <v>39.123779892000002</v>
      </c>
      <c r="R44">
        <v>23.596073855</v>
      </c>
      <c r="S44">
        <v>5.4052329139999999</v>
      </c>
      <c r="T44">
        <v>0.35286933099999368</v>
      </c>
      <c r="U44" t="s">
        <v>83</v>
      </c>
      <c r="V44">
        <v>2514.7592112907801</v>
      </c>
      <c r="W44">
        <v>33.059003531252849</v>
      </c>
      <c r="AK44">
        <v>2514.7592112907801</v>
      </c>
      <c r="AL44">
        <v>33.059003531252849</v>
      </c>
      <c r="AM44" t="s">
        <v>123</v>
      </c>
      <c r="AN44">
        <v>13.0716293098</v>
      </c>
      <c r="AO44">
        <v>2</v>
      </c>
      <c r="AP44">
        <f t="shared" si="0"/>
        <v>4.147149760242904E-2</v>
      </c>
    </row>
    <row r="45" spans="1:42" x14ac:dyDescent="0.2">
      <c r="A45" t="s">
        <v>84</v>
      </c>
      <c r="B45">
        <v>2020</v>
      </c>
      <c r="C45">
        <v>127.1264075487955</v>
      </c>
      <c r="D45">
        <v>59.252646412323891</v>
      </c>
      <c r="E45">
        <v>6.6384140470709747</v>
      </c>
      <c r="F45">
        <v>2.5069225838430662</v>
      </c>
      <c r="G45">
        <v>7.6453353333350638</v>
      </c>
      <c r="H45">
        <v>2.8702446974435101</v>
      </c>
      <c r="I45">
        <v>0.16609010907448879</v>
      </c>
      <c r="J45">
        <v>0.40737099999999998</v>
      </c>
      <c r="K45">
        <v>0.372</v>
      </c>
      <c r="L45">
        <v>13.4</v>
      </c>
      <c r="M45">
        <v>0.14441315264287891</v>
      </c>
      <c r="N45">
        <v>288</v>
      </c>
      <c r="O45">
        <v>39</v>
      </c>
      <c r="P45">
        <v>29.457779789</v>
      </c>
      <c r="Q45">
        <v>44.693084790999997</v>
      </c>
      <c r="R45">
        <v>18.232860089999999</v>
      </c>
      <c r="S45">
        <v>6.9599111059999998</v>
      </c>
      <c r="T45">
        <v>0.65636422400001493</v>
      </c>
      <c r="U45" t="s">
        <v>84</v>
      </c>
      <c r="V45">
        <v>2581.8679814876882</v>
      </c>
      <c r="W45">
        <v>37.713069798138413</v>
      </c>
      <c r="AK45">
        <v>2581.8679814876882</v>
      </c>
      <c r="AL45">
        <v>37.713069798138413</v>
      </c>
      <c r="AM45" t="s">
        <v>123</v>
      </c>
      <c r="AN45">
        <v>13.273646740509999</v>
      </c>
      <c r="AO45">
        <v>3</v>
      </c>
      <c r="AP45">
        <f t="shared" si="0"/>
        <v>6.144612746498998E-2</v>
      </c>
    </row>
    <row r="46" spans="1:42" x14ac:dyDescent="0.2">
      <c r="A46" t="s">
        <v>85</v>
      </c>
      <c r="B46">
        <v>2020</v>
      </c>
      <c r="C46">
        <v>140.44617967278791</v>
      </c>
      <c r="D46">
        <v>67.353660375044399</v>
      </c>
      <c r="E46">
        <v>11.150659100026321</v>
      </c>
      <c r="F46">
        <v>2.2996318033968119</v>
      </c>
      <c r="G46">
        <v>6.0608073751747087</v>
      </c>
      <c r="H46">
        <v>3.1428301313089761</v>
      </c>
      <c r="I46">
        <v>0.34749991695774041</v>
      </c>
      <c r="J46">
        <v>0.55415519999999996</v>
      </c>
      <c r="K46">
        <v>0.36799999999999999</v>
      </c>
      <c r="L46">
        <v>13.6</v>
      </c>
      <c r="M46">
        <v>0.1498732374260639</v>
      </c>
      <c r="N46">
        <v>239</v>
      </c>
      <c r="O46">
        <v>6</v>
      </c>
      <c r="P46">
        <v>29.936966173999998</v>
      </c>
      <c r="Q46">
        <v>49.676964687999998</v>
      </c>
      <c r="R46">
        <v>14.485751122</v>
      </c>
      <c r="S46">
        <v>5.8726726039999999</v>
      </c>
      <c r="T46">
        <v>2.764541200001247E-2</v>
      </c>
      <c r="U46" t="s">
        <v>85</v>
      </c>
      <c r="V46">
        <v>2928.0311935572968</v>
      </c>
      <c r="W46">
        <v>35.111657506508529</v>
      </c>
      <c r="AK46">
        <v>2928.0311935572968</v>
      </c>
      <c r="AL46">
        <v>35.111657506508529</v>
      </c>
      <c r="AM46" t="s">
        <v>126</v>
      </c>
      <c r="AN46">
        <v>13.31575992614</v>
      </c>
      <c r="AO46">
        <v>3</v>
      </c>
      <c r="AP46">
        <f t="shared" si="0"/>
        <v>4.5628206527671668E-2</v>
      </c>
    </row>
    <row r="47" spans="1:42" x14ac:dyDescent="0.2">
      <c r="A47" t="s">
        <v>86</v>
      </c>
      <c r="B47">
        <v>2020</v>
      </c>
      <c r="C47">
        <v>116.63290152120391</v>
      </c>
      <c r="D47">
        <v>46.653160608481549</v>
      </c>
      <c r="E47">
        <v>4.798922423783023</v>
      </c>
      <c r="F47">
        <v>2.1540617697662441</v>
      </c>
      <c r="G47">
        <v>6.434918704618144</v>
      </c>
      <c r="H47">
        <v>2.1540617697662441</v>
      </c>
      <c r="I47">
        <v>9.5433116382048697E-2</v>
      </c>
      <c r="J47">
        <v>0.38987369999999999</v>
      </c>
      <c r="K47">
        <v>0.35699999999999998</v>
      </c>
      <c r="L47">
        <v>12.9</v>
      </c>
      <c r="M47">
        <v>0.14860395333135201</v>
      </c>
      <c r="N47">
        <v>115</v>
      </c>
      <c r="O47">
        <v>4</v>
      </c>
      <c r="P47">
        <v>34.608712632</v>
      </c>
      <c r="Q47">
        <v>48.184313859</v>
      </c>
      <c r="R47">
        <v>13.567874589000001</v>
      </c>
      <c r="S47">
        <v>3.6069776490000001</v>
      </c>
      <c r="T47">
        <v>3.2121270999994067E-2</v>
      </c>
      <c r="U47" t="s">
        <v>86</v>
      </c>
      <c r="V47">
        <v>2451.9996555967109</v>
      </c>
      <c r="W47">
        <v>30.818439917665749</v>
      </c>
      <c r="AK47">
        <v>2451.9996555967109</v>
      </c>
      <c r="AL47">
        <v>30.818439917665749</v>
      </c>
      <c r="AM47" t="s">
        <v>127</v>
      </c>
      <c r="AN47">
        <v>12.921700815379999</v>
      </c>
      <c r="AO47">
        <v>1</v>
      </c>
      <c r="AP47">
        <f t="shared" si="0"/>
        <v>5.5990648743424874E-2</v>
      </c>
    </row>
    <row r="48" spans="1:42" x14ac:dyDescent="0.2">
      <c r="A48" t="s">
        <v>87</v>
      </c>
      <c r="B48">
        <v>2020</v>
      </c>
      <c r="C48">
        <v>103.5568563140959</v>
      </c>
      <c r="D48">
        <v>55.99882962369491</v>
      </c>
      <c r="E48">
        <v>4.6033780062700922</v>
      </c>
      <c r="F48">
        <v>2.1829662758518742</v>
      </c>
      <c r="G48">
        <v>4.894440176383676</v>
      </c>
      <c r="H48">
        <v>2.5736023462674722</v>
      </c>
      <c r="I48">
        <v>0.1531906158492542</v>
      </c>
      <c r="J48">
        <v>0.3767799</v>
      </c>
      <c r="K48">
        <v>0.35499999999999998</v>
      </c>
      <c r="L48">
        <v>13</v>
      </c>
      <c r="M48">
        <v>0.14296650614211129</v>
      </c>
      <c r="N48">
        <v>160</v>
      </c>
      <c r="O48">
        <v>5</v>
      </c>
      <c r="P48">
        <v>35.489054504000002</v>
      </c>
      <c r="Q48">
        <v>47.086651998999997</v>
      </c>
      <c r="R48">
        <v>15.412450592000001</v>
      </c>
      <c r="S48">
        <v>1.905874187</v>
      </c>
      <c r="T48">
        <v>0.10596871800001401</v>
      </c>
      <c r="U48" t="s">
        <v>87</v>
      </c>
      <c r="V48">
        <v>2795.0553135311789</v>
      </c>
      <c r="W48">
        <v>34.959989249446402</v>
      </c>
      <c r="AK48">
        <v>2795.0553135311789</v>
      </c>
      <c r="AL48">
        <v>34.959989249446402</v>
      </c>
      <c r="AM48" t="s">
        <v>126</v>
      </c>
      <c r="AN48">
        <v>13.022752501119999</v>
      </c>
      <c r="AO48">
        <v>2</v>
      </c>
      <c r="AP48">
        <f t="shared" si="0"/>
        <v>4.8742603550295867E-2</v>
      </c>
    </row>
    <row r="49" spans="1:42" x14ac:dyDescent="0.2">
      <c r="A49" t="s">
        <v>88</v>
      </c>
      <c r="B49">
        <v>2020</v>
      </c>
      <c r="C49">
        <v>152.71269515169701</v>
      </c>
      <c r="D49">
        <v>67.449966528935164</v>
      </c>
      <c r="E49">
        <v>10.28754337773058</v>
      </c>
      <c r="F49">
        <v>3.377884474812062</v>
      </c>
      <c r="G49">
        <v>6.2825573432438464</v>
      </c>
      <c r="H49">
        <v>3.5548579211006208</v>
      </c>
      <c r="I49">
        <v>0.3654886390741981</v>
      </c>
      <c r="J49">
        <v>0.54057659999999996</v>
      </c>
      <c r="K49">
        <v>0.38500000000000001</v>
      </c>
      <c r="L49">
        <v>13.2</v>
      </c>
      <c r="M49">
        <v>0.1485870839298323</v>
      </c>
      <c r="N49">
        <v>266</v>
      </c>
      <c r="O49">
        <v>10</v>
      </c>
      <c r="P49">
        <v>26.513201129999999</v>
      </c>
      <c r="Q49">
        <v>51.055600699000003</v>
      </c>
      <c r="R49">
        <v>15.161082800999999</v>
      </c>
      <c r="S49">
        <v>6.9793766420000001</v>
      </c>
      <c r="T49">
        <v>0.290738728000008</v>
      </c>
      <c r="U49" t="s">
        <v>88</v>
      </c>
      <c r="V49">
        <v>2320.8031768168812</v>
      </c>
      <c r="W49">
        <v>31.893733633168811</v>
      </c>
      <c r="X49">
        <v>5</v>
      </c>
      <c r="AA49">
        <v>1</v>
      </c>
      <c r="AD49">
        <v>761.21</v>
      </c>
      <c r="AF49">
        <v>78.75</v>
      </c>
      <c r="AH49">
        <v>4.09</v>
      </c>
      <c r="AI49">
        <v>13.03</v>
      </c>
      <c r="AK49">
        <v>2320.8031768168812</v>
      </c>
      <c r="AL49">
        <v>31.893733633168811</v>
      </c>
      <c r="AM49" t="s">
        <v>126</v>
      </c>
      <c r="AN49">
        <v>12.975825261300001</v>
      </c>
      <c r="AO49">
        <v>1</v>
      </c>
      <c r="AP49">
        <f t="shared" si="0"/>
        <v>4.353302766161133E-2</v>
      </c>
    </row>
    <row r="50" spans="1:42" x14ac:dyDescent="0.2">
      <c r="A50" t="s">
        <v>89</v>
      </c>
      <c r="B50">
        <v>2020</v>
      </c>
      <c r="C50">
        <v>170.56039766481629</v>
      </c>
      <c r="D50">
        <v>72.283513409161401</v>
      </c>
      <c r="E50">
        <v>8.1545761624754469</v>
      </c>
      <c r="F50">
        <v>3.1173056352024511</v>
      </c>
      <c r="G50">
        <v>5.2429810514234108</v>
      </c>
      <c r="H50">
        <v>2.937968255173883</v>
      </c>
      <c r="I50">
        <v>0.36394938888150441</v>
      </c>
      <c r="J50">
        <v>0.59192339999999999</v>
      </c>
      <c r="K50">
        <v>0.371</v>
      </c>
      <c r="L50">
        <v>12.9</v>
      </c>
      <c r="M50">
        <v>0.15989161046231709</v>
      </c>
      <c r="N50">
        <v>200</v>
      </c>
      <c r="O50">
        <v>8</v>
      </c>
      <c r="P50">
        <v>30.195103946</v>
      </c>
      <c r="Q50">
        <v>46.472212710999997</v>
      </c>
      <c r="R50">
        <v>18.387122421000001</v>
      </c>
      <c r="S50">
        <v>4.6338670720000001</v>
      </c>
      <c r="T50">
        <v>0.3116938499999975</v>
      </c>
      <c r="U50" t="s">
        <v>89</v>
      </c>
      <c r="V50">
        <v>2399.2679276321551</v>
      </c>
      <c r="W50">
        <v>30.76660402860222</v>
      </c>
      <c r="AK50">
        <v>2399.2679276321551</v>
      </c>
      <c r="AL50">
        <v>30.76660402860222</v>
      </c>
      <c r="AM50" t="s">
        <v>124</v>
      </c>
      <c r="AN50">
        <v>13.134561797170001</v>
      </c>
      <c r="AO50">
        <v>2</v>
      </c>
      <c r="AP50">
        <f t="shared" si="0"/>
        <v>3.2873577436912424E-2</v>
      </c>
    </row>
    <row r="51" spans="1:42" x14ac:dyDescent="0.2">
      <c r="A51" t="s">
        <v>90</v>
      </c>
      <c r="B51">
        <v>2020</v>
      </c>
      <c r="C51">
        <v>144.23867819809459</v>
      </c>
      <c r="D51">
        <v>68.821222938278112</v>
      </c>
      <c r="E51">
        <v>19.597038882633381</v>
      </c>
      <c r="F51">
        <v>2.7470991750716718</v>
      </c>
      <c r="G51">
        <v>7.1871780743154208</v>
      </c>
      <c r="H51">
        <v>2.9547287638852291</v>
      </c>
      <c r="I51">
        <v>0.20762958881355659</v>
      </c>
      <c r="J51">
        <v>0.33140550000000002</v>
      </c>
      <c r="K51">
        <v>0.35599999999999998</v>
      </c>
      <c r="L51">
        <v>15.8</v>
      </c>
      <c r="M51">
        <v>0.14110809067829119</v>
      </c>
      <c r="N51">
        <v>83</v>
      </c>
      <c r="O51">
        <v>3</v>
      </c>
      <c r="P51">
        <v>26.537506805</v>
      </c>
      <c r="Q51">
        <v>52.757471156999998</v>
      </c>
      <c r="R51">
        <v>15.303284230999999</v>
      </c>
      <c r="S51">
        <v>4.7459442489999999</v>
      </c>
      <c r="T51">
        <v>0.65579355800001338</v>
      </c>
      <c r="U51" t="s">
        <v>90</v>
      </c>
      <c r="V51">
        <v>2389.646938561179</v>
      </c>
      <c r="W51">
        <v>36.950095209868479</v>
      </c>
      <c r="AK51">
        <v>2389.646938561179</v>
      </c>
      <c r="AL51">
        <v>36.950095209868479</v>
      </c>
      <c r="AM51" t="s">
        <v>125</v>
      </c>
      <c r="AN51">
        <v>13.18365245711</v>
      </c>
      <c r="AO51">
        <v>3</v>
      </c>
      <c r="AP51">
        <f t="shared" si="0"/>
        <v>5.1267855165540915E-2</v>
      </c>
    </row>
    <row r="52" spans="1:42" x14ac:dyDescent="0.2">
      <c r="A52" t="s">
        <v>91</v>
      </c>
      <c r="B52">
        <v>2020</v>
      </c>
      <c r="C52">
        <v>147.10727303522469</v>
      </c>
      <c r="D52">
        <v>55.645536100753233</v>
      </c>
      <c r="E52">
        <v>6.5057562006574363</v>
      </c>
      <c r="F52">
        <v>1.9938915928049341</v>
      </c>
      <c r="G52">
        <v>4.4451633359307126</v>
      </c>
      <c r="H52">
        <v>2.170173525741093</v>
      </c>
      <c r="I52">
        <v>8.8140966468079507E-2</v>
      </c>
      <c r="J52">
        <v>0.40600599999999998</v>
      </c>
      <c r="K52">
        <v>0.38900000000000001</v>
      </c>
      <c r="L52">
        <v>13</v>
      </c>
      <c r="M52">
        <v>0.15849607989634659</v>
      </c>
      <c r="N52">
        <v>497</v>
      </c>
      <c r="O52">
        <v>12</v>
      </c>
      <c r="P52">
        <v>36.977565245000001</v>
      </c>
      <c r="Q52">
        <v>40.001140311</v>
      </c>
      <c r="R52">
        <v>16.609502974000002</v>
      </c>
      <c r="S52">
        <v>6.0852356810000003</v>
      </c>
      <c r="T52">
        <v>0.32655578899999682</v>
      </c>
      <c r="U52" t="s">
        <v>91</v>
      </c>
      <c r="V52">
        <v>2878.2158406295539</v>
      </c>
      <c r="W52">
        <v>32.561942883571461</v>
      </c>
      <c r="AK52">
        <v>2878.2158406295539</v>
      </c>
      <c r="AL52">
        <v>32.561942883571461</v>
      </c>
      <c r="AM52" t="s">
        <v>122</v>
      </c>
      <c r="AN52">
        <v>13.446121693269999</v>
      </c>
      <c r="AO52">
        <v>3</v>
      </c>
      <c r="AP52">
        <f t="shared" si="0"/>
        <v>3.0816316616196788E-2</v>
      </c>
    </row>
    <row r="53" spans="1:42" x14ac:dyDescent="0.2">
      <c r="A53" t="s">
        <v>92</v>
      </c>
      <c r="B53">
        <v>2020</v>
      </c>
      <c r="C53">
        <v>90.39119012812408</v>
      </c>
      <c r="D53">
        <v>46.426603489931431</v>
      </c>
      <c r="E53">
        <v>5.7266692338979137</v>
      </c>
      <c r="F53">
        <v>1.9118958702147371</v>
      </c>
      <c r="G53">
        <v>6.1505329409738234</v>
      </c>
      <c r="H53">
        <v>1.7856385957665939</v>
      </c>
      <c r="I53">
        <v>0.1533124046870307</v>
      </c>
      <c r="J53">
        <v>0.41359829999999997</v>
      </c>
      <c r="K53">
        <v>0.35599999999999998</v>
      </c>
      <c r="L53">
        <v>12.9</v>
      </c>
      <c r="M53">
        <v>0.14074211002431669</v>
      </c>
      <c r="N53">
        <v>166</v>
      </c>
      <c r="O53">
        <v>6</v>
      </c>
      <c r="P53">
        <v>32.365487356000003</v>
      </c>
      <c r="Q53">
        <v>50.919000750000002</v>
      </c>
      <c r="R53">
        <v>10.996628475</v>
      </c>
      <c r="S53">
        <v>5.4194957439999998</v>
      </c>
      <c r="T53">
        <v>0.29938767500000552</v>
      </c>
      <c r="U53" t="s">
        <v>92</v>
      </c>
      <c r="V53">
        <v>2459.7478983423948</v>
      </c>
      <c r="W53">
        <v>38.25510224686667</v>
      </c>
      <c r="AK53">
        <v>2459.7478983423948</v>
      </c>
      <c r="AL53">
        <v>38.25510224686667</v>
      </c>
      <c r="AM53" t="s">
        <v>127</v>
      </c>
      <c r="AN53">
        <v>13.590214513599999</v>
      </c>
      <c r="AO53">
        <v>3</v>
      </c>
      <c r="AP53">
        <f t="shared" si="0"/>
        <v>6.9739598922478316E-2</v>
      </c>
    </row>
    <row r="54" spans="1:42" x14ac:dyDescent="0.2">
      <c r="A54" t="s">
        <v>93</v>
      </c>
      <c r="B54">
        <v>2020</v>
      </c>
      <c r="C54">
        <v>139.42932481887269</v>
      </c>
      <c r="D54">
        <v>48.36560852351856</v>
      </c>
      <c r="E54">
        <v>10.19332404894808</v>
      </c>
      <c r="F54">
        <v>2.2424683884294918</v>
      </c>
      <c r="G54">
        <v>9.2749498982869181</v>
      </c>
      <c r="H54">
        <v>2.7614126858921368</v>
      </c>
      <c r="I54">
        <v>0.1037888594925291</v>
      </c>
      <c r="J54">
        <v>0.50874409999999992</v>
      </c>
      <c r="K54">
        <v>0.36799999999999999</v>
      </c>
      <c r="L54">
        <v>12.3</v>
      </c>
      <c r="M54">
        <v>0.1479546485204192</v>
      </c>
      <c r="N54">
        <v>316</v>
      </c>
      <c r="O54">
        <v>17</v>
      </c>
      <c r="P54">
        <v>40.095520332</v>
      </c>
      <c r="Q54">
        <v>45.988383040999999</v>
      </c>
      <c r="R54">
        <v>10.908380713</v>
      </c>
      <c r="S54">
        <v>2.6614666630000001</v>
      </c>
      <c r="T54">
        <v>0.34624925100000331</v>
      </c>
      <c r="U54" t="s">
        <v>93</v>
      </c>
      <c r="V54">
        <v>2350.244094797255</v>
      </c>
      <c r="W54">
        <v>33.421951175526452</v>
      </c>
      <c r="AK54">
        <v>2350.244094797255</v>
      </c>
      <c r="AL54">
        <v>33.421951175526452</v>
      </c>
      <c r="AM54" t="s">
        <v>126</v>
      </c>
      <c r="AN54">
        <v>13.14889787878</v>
      </c>
      <c r="AO54">
        <v>2</v>
      </c>
      <c r="AP54">
        <f t="shared" si="0"/>
        <v>6.7265180907696481E-2</v>
      </c>
    </row>
    <row r="55" spans="1:42" x14ac:dyDescent="0.2">
      <c r="A55" t="s">
        <v>94</v>
      </c>
      <c r="B55">
        <v>2020</v>
      </c>
      <c r="C55">
        <v>113.5759042501163</v>
      </c>
      <c r="D55">
        <v>34.521635905020773</v>
      </c>
      <c r="E55">
        <v>9.9813562788436716</v>
      </c>
      <c r="F55">
        <v>2.2267242478043978</v>
      </c>
      <c r="G55">
        <v>5.3926741142750432</v>
      </c>
      <c r="H55">
        <v>2.4934865536977711</v>
      </c>
      <c r="I55">
        <v>0.14820128105187341</v>
      </c>
      <c r="J55">
        <v>0.95486280000000001</v>
      </c>
      <c r="K55">
        <v>0.39800000000000002</v>
      </c>
      <c r="L55">
        <v>6.1</v>
      </c>
      <c r="M55">
        <v>0.1667063865228198</v>
      </c>
      <c r="N55">
        <v>218</v>
      </c>
      <c r="O55">
        <v>62</v>
      </c>
      <c r="P55">
        <v>44.361019816999999</v>
      </c>
      <c r="Q55">
        <v>41.156694500999997</v>
      </c>
      <c r="R55">
        <v>14.174452257</v>
      </c>
      <c r="S55">
        <v>0.28376341300000002</v>
      </c>
      <c r="T55">
        <v>2.40700119999957E-2</v>
      </c>
      <c r="U55" t="s">
        <v>94</v>
      </c>
      <c r="V55">
        <v>2502.2443364822911</v>
      </c>
      <c r="W55">
        <v>29.7720440167259</v>
      </c>
      <c r="X55">
        <v>7.72</v>
      </c>
      <c r="AA55">
        <v>3.01</v>
      </c>
      <c r="AD55">
        <v>758.68</v>
      </c>
      <c r="AF55">
        <v>74.959999999999994</v>
      </c>
      <c r="AH55">
        <v>3.99</v>
      </c>
      <c r="AI55">
        <v>11.76</v>
      </c>
      <c r="AK55">
        <v>2502.2443364822911</v>
      </c>
      <c r="AL55">
        <v>29.7720440167259</v>
      </c>
      <c r="AM55" t="s">
        <v>125</v>
      </c>
      <c r="AN55">
        <v>13.09305026423</v>
      </c>
      <c r="AO55">
        <v>2</v>
      </c>
      <c r="AP55">
        <f t="shared" si="0"/>
        <v>4.8785659527964917E-2</v>
      </c>
    </row>
    <row r="56" spans="1:42" x14ac:dyDescent="0.2">
      <c r="A56" t="s">
        <v>95</v>
      </c>
      <c r="B56">
        <v>2020</v>
      </c>
      <c r="C56">
        <v>126.1945707803187</v>
      </c>
      <c r="D56">
        <v>49.382817999954582</v>
      </c>
      <c r="E56">
        <v>5.995305329091476</v>
      </c>
      <c r="F56">
        <v>2.1346920489946921</v>
      </c>
      <c r="G56">
        <v>6.8004599703950834</v>
      </c>
      <c r="H56">
        <v>2.0066931060182212</v>
      </c>
      <c r="I56">
        <v>5.3676976086907101E-2</v>
      </c>
      <c r="J56">
        <v>0.34706740000000003</v>
      </c>
      <c r="K56">
        <v>0.36099999999999999</v>
      </c>
      <c r="L56">
        <v>15.2</v>
      </c>
      <c r="M56">
        <v>0.15662943284090419</v>
      </c>
      <c r="N56">
        <v>269</v>
      </c>
      <c r="O56">
        <v>7</v>
      </c>
      <c r="P56">
        <v>31.435460684999999</v>
      </c>
      <c r="Q56">
        <v>49.208769168000003</v>
      </c>
      <c r="R56">
        <v>14.924658543</v>
      </c>
      <c r="S56">
        <v>4.3496376059999999</v>
      </c>
      <c r="T56">
        <v>8.1473997999992775E-2</v>
      </c>
      <c r="U56" t="s">
        <v>95</v>
      </c>
      <c r="V56">
        <v>2791.1505498301631</v>
      </c>
      <c r="W56">
        <v>40.7147169520482</v>
      </c>
      <c r="AK56">
        <v>2791.1505498301631</v>
      </c>
      <c r="AL56">
        <v>40.7147169520482</v>
      </c>
      <c r="AM56" t="s">
        <v>126</v>
      </c>
      <c r="AN56">
        <v>12.83803827977</v>
      </c>
      <c r="AO56">
        <v>1</v>
      </c>
      <c r="AP56">
        <f t="shared" si="0"/>
        <v>5.4314039852108767E-2</v>
      </c>
    </row>
    <row r="57" spans="1:42" x14ac:dyDescent="0.2">
      <c r="A57" t="s">
        <v>96</v>
      </c>
      <c r="B57">
        <v>2020</v>
      </c>
      <c r="C57">
        <v>124.959361972683</v>
      </c>
      <c r="D57">
        <v>75.576442701410286</v>
      </c>
      <c r="E57">
        <v>5.5658665261996969</v>
      </c>
      <c r="F57">
        <v>3.1481611035436359</v>
      </c>
      <c r="G57">
        <v>6.4403557216284844</v>
      </c>
      <c r="H57">
        <v>2.8909583990057581</v>
      </c>
      <c r="I57">
        <v>0.1440335145412121</v>
      </c>
      <c r="J57">
        <v>1.1544839</v>
      </c>
      <c r="K57">
        <v>0.39600000000000002</v>
      </c>
      <c r="L57">
        <v>17.3</v>
      </c>
      <c r="M57">
        <v>0.1934921093207688</v>
      </c>
      <c r="N57">
        <v>188</v>
      </c>
      <c r="O57">
        <v>2</v>
      </c>
      <c r="P57">
        <v>34.544751523000002</v>
      </c>
      <c r="Q57">
        <v>40.446020183999998</v>
      </c>
      <c r="R57">
        <v>21.335939322000002</v>
      </c>
      <c r="S57">
        <v>3.1894005519999999</v>
      </c>
      <c r="T57">
        <v>0.48388841900001012</v>
      </c>
      <c r="U57" t="s">
        <v>96</v>
      </c>
      <c r="V57">
        <v>2616.354407669518</v>
      </c>
      <c r="W57">
        <v>32.701091305293147</v>
      </c>
      <c r="X57">
        <v>-6.57</v>
      </c>
      <c r="AA57">
        <v>-12.94</v>
      </c>
      <c r="AD57">
        <v>760.18</v>
      </c>
      <c r="AF57">
        <v>65.22</v>
      </c>
      <c r="AH57">
        <v>2.29</v>
      </c>
      <c r="AI57">
        <v>11.52</v>
      </c>
      <c r="AK57">
        <v>2616.354407669518</v>
      </c>
      <c r="AL57">
        <v>32.701091305293147</v>
      </c>
      <c r="AM57" t="s">
        <v>124</v>
      </c>
      <c r="AN57">
        <v>13.06888202082</v>
      </c>
      <c r="AO57">
        <v>2</v>
      </c>
      <c r="AP57">
        <f t="shared" si="0"/>
        <v>5.2692244360283226E-2</v>
      </c>
    </row>
    <row r="58" spans="1:42" x14ac:dyDescent="0.2">
      <c r="A58" t="s">
        <v>97</v>
      </c>
      <c r="B58">
        <v>2020</v>
      </c>
      <c r="C58">
        <v>184.08338231709939</v>
      </c>
      <c r="D58">
        <v>85.794980921932506</v>
      </c>
      <c r="E58">
        <v>6.3695963396326114</v>
      </c>
      <c r="F58">
        <v>3.6865830904626051</v>
      </c>
      <c r="G58">
        <v>6.9021027860327653</v>
      </c>
      <c r="H58">
        <v>3.6251400389548949</v>
      </c>
      <c r="I58">
        <v>0.49154441206168059</v>
      </c>
      <c r="J58">
        <v>2.1246450000000001</v>
      </c>
      <c r="K58">
        <v>0.40699999999999997</v>
      </c>
      <c r="L58">
        <v>7.5</v>
      </c>
      <c r="M58">
        <v>0.15085241367662111</v>
      </c>
      <c r="N58">
        <v>80</v>
      </c>
      <c r="O58">
        <v>1</v>
      </c>
      <c r="P58">
        <v>26.973126328999999</v>
      </c>
      <c r="Q58">
        <v>45.150422286000001</v>
      </c>
      <c r="R58">
        <v>22.314171476999999</v>
      </c>
      <c r="S58">
        <v>4.9092874889999996</v>
      </c>
      <c r="T58">
        <v>0.65299241900000027</v>
      </c>
      <c r="U58" t="s">
        <v>97</v>
      </c>
      <c r="V58">
        <v>2660.8718094091341</v>
      </c>
      <c r="W58">
        <v>34.383741246096598</v>
      </c>
      <c r="AK58">
        <v>2660.8718094091341</v>
      </c>
      <c r="AL58">
        <v>34.383741246096598</v>
      </c>
      <c r="AM58" t="s">
        <v>124</v>
      </c>
      <c r="AN58">
        <v>13.49203625781</v>
      </c>
      <c r="AO58">
        <v>3</v>
      </c>
      <c r="AP58">
        <f t="shared" si="0"/>
        <v>4.0164663996439698E-2</v>
      </c>
    </row>
    <row r="59" spans="1:42" x14ac:dyDescent="0.2">
      <c r="A59" t="s">
        <v>98</v>
      </c>
      <c r="B59">
        <v>2020</v>
      </c>
      <c r="C59">
        <v>135.68621756051999</v>
      </c>
      <c r="D59">
        <v>63.769506488649938</v>
      </c>
      <c r="E59">
        <v>9.6690058948922459</v>
      </c>
      <c r="F59">
        <v>3.238467425448555</v>
      </c>
      <c r="G59">
        <v>6.1312818090691463</v>
      </c>
      <c r="H59">
        <v>2.932251307855998</v>
      </c>
      <c r="I59">
        <v>9.2792762906835302E-2</v>
      </c>
      <c r="J59">
        <v>0.58436589999999999</v>
      </c>
      <c r="K59">
        <v>0.39500000000000002</v>
      </c>
      <c r="L59">
        <v>9</v>
      </c>
      <c r="M59">
        <v>0.14959462920822769</v>
      </c>
      <c r="N59">
        <v>581</v>
      </c>
      <c r="O59">
        <v>22</v>
      </c>
      <c r="P59">
        <v>31.155987931999999</v>
      </c>
      <c r="Q59">
        <v>47.495922966000002</v>
      </c>
      <c r="R59">
        <v>15.830438823</v>
      </c>
      <c r="S59">
        <v>5.179191275</v>
      </c>
      <c r="T59">
        <v>0.33845900400001477</v>
      </c>
      <c r="U59" t="s">
        <v>98</v>
      </c>
      <c r="V59">
        <v>2504.7557961952248</v>
      </c>
      <c r="W59">
        <v>31.514290752894048</v>
      </c>
      <c r="AK59">
        <v>2504.7557961952248</v>
      </c>
      <c r="AL59">
        <v>31.514290752894048</v>
      </c>
      <c r="AM59" t="s">
        <v>128</v>
      </c>
      <c r="AN59">
        <v>13.052911713709999</v>
      </c>
      <c r="AO59">
        <v>2</v>
      </c>
      <c r="AP59">
        <f t="shared" si="0"/>
        <v>4.587108907505557E-2</v>
      </c>
    </row>
    <row r="60" spans="1:42" x14ac:dyDescent="0.2">
      <c r="A60" t="s">
        <v>99</v>
      </c>
      <c r="B60">
        <v>2020</v>
      </c>
      <c r="C60">
        <v>135.9047775961954</v>
      </c>
      <c r="D60">
        <v>45.976960310639491</v>
      </c>
      <c r="E60">
        <v>9.3289812930546958</v>
      </c>
      <c r="F60">
        <v>2.6717846185359511</v>
      </c>
      <c r="G60">
        <v>5.1431853906817064</v>
      </c>
      <c r="H60">
        <v>2.115162823007628</v>
      </c>
      <c r="I60">
        <v>0.2003838463901963</v>
      </c>
      <c r="J60">
        <v>0.27127449999999997</v>
      </c>
      <c r="K60">
        <v>0.33200000000000002</v>
      </c>
      <c r="L60">
        <v>12.1</v>
      </c>
      <c r="M60">
        <v>0.16522514865056301</v>
      </c>
      <c r="N60">
        <v>31</v>
      </c>
      <c r="O60">
        <v>1</v>
      </c>
      <c r="P60">
        <v>43.461531364000002</v>
      </c>
      <c r="Q60">
        <v>40.171179803000001</v>
      </c>
      <c r="R60">
        <v>14.285216370000001</v>
      </c>
      <c r="S60">
        <v>1.9179295919999999</v>
      </c>
      <c r="T60">
        <v>0.1641428710000099</v>
      </c>
      <c r="U60" t="s">
        <v>99</v>
      </c>
      <c r="V60">
        <v>2641.4019506480331</v>
      </c>
      <c r="W60">
        <v>44.899305568417653</v>
      </c>
      <c r="AK60">
        <v>2641.4019506480331</v>
      </c>
      <c r="AL60">
        <v>44.899305568417653</v>
      </c>
      <c r="AM60" t="s">
        <v>122</v>
      </c>
      <c r="AN60">
        <v>13.01538221901</v>
      </c>
      <c r="AO60">
        <v>2</v>
      </c>
      <c r="AP60">
        <f t="shared" si="0"/>
        <v>3.9318479685452164E-2</v>
      </c>
    </row>
    <row r="61" spans="1:42" x14ac:dyDescent="0.2">
      <c r="A61" t="s">
        <v>100</v>
      </c>
      <c r="B61">
        <v>2020</v>
      </c>
      <c r="C61">
        <v>157.95458070423331</v>
      </c>
      <c r="D61">
        <v>68.147127626916131</v>
      </c>
      <c r="E61">
        <v>7.7977171621443828</v>
      </c>
      <c r="F61">
        <v>3.6367953842648699</v>
      </c>
      <c r="G61">
        <v>7.3484659676175461</v>
      </c>
      <c r="H61">
        <v>2.3425240857470779</v>
      </c>
      <c r="I61">
        <v>0.3101972533637683</v>
      </c>
      <c r="J61">
        <v>0.40192159999999999</v>
      </c>
      <c r="K61">
        <v>0.38500000000000001</v>
      </c>
      <c r="L61">
        <v>15.3</v>
      </c>
      <c r="M61">
        <v>0.1438383675215727</v>
      </c>
      <c r="N61">
        <v>167</v>
      </c>
      <c r="O61">
        <v>6</v>
      </c>
      <c r="P61">
        <v>29.220967607999999</v>
      </c>
      <c r="Q61">
        <v>50.232530765</v>
      </c>
      <c r="R61">
        <v>14.867322824</v>
      </c>
      <c r="S61">
        <v>5.5392982059999998</v>
      </c>
      <c r="T61">
        <v>0.13988059700000119</v>
      </c>
      <c r="U61" t="s">
        <v>100</v>
      </c>
      <c r="V61">
        <v>3272.272098363866</v>
      </c>
      <c r="W61">
        <v>49.046987962560529</v>
      </c>
      <c r="AK61">
        <v>3272.272098363866</v>
      </c>
      <c r="AL61">
        <v>49.046987962560529</v>
      </c>
      <c r="AM61" t="s">
        <v>127</v>
      </c>
      <c r="AN61">
        <v>13.241588124030001</v>
      </c>
      <c r="AO61">
        <v>3</v>
      </c>
      <c r="AP61">
        <f t="shared" si="0"/>
        <v>4.8486490146949293E-2</v>
      </c>
    </row>
    <row r="62" spans="1:42" x14ac:dyDescent="0.2">
      <c r="A62" t="s">
        <v>101</v>
      </c>
      <c r="B62">
        <v>2020</v>
      </c>
      <c r="C62">
        <v>131.6416819303341</v>
      </c>
      <c r="D62">
        <v>69.938057984719109</v>
      </c>
      <c r="E62">
        <v>7.4000643656605227</v>
      </c>
      <c r="F62">
        <v>2.026326349791606</v>
      </c>
      <c r="G62">
        <v>5.8306547418023174</v>
      </c>
      <c r="H62">
        <v>2.483243075725007</v>
      </c>
      <c r="I62">
        <v>0.17879350145220049</v>
      </c>
      <c r="J62">
        <v>0.37647550000000002</v>
      </c>
      <c r="K62">
        <v>0.35599999999999998</v>
      </c>
      <c r="L62">
        <v>10.8</v>
      </c>
      <c r="M62">
        <v>0.14369936461256869</v>
      </c>
      <c r="N62">
        <v>105</v>
      </c>
      <c r="O62">
        <v>4</v>
      </c>
      <c r="P62">
        <v>27.244239861000001</v>
      </c>
      <c r="Q62">
        <v>52.154235667999998</v>
      </c>
      <c r="R62">
        <v>16.244718484</v>
      </c>
      <c r="S62">
        <v>3.750086606</v>
      </c>
      <c r="T62">
        <v>0.60671938100000489</v>
      </c>
      <c r="U62" t="s">
        <v>101</v>
      </c>
      <c r="V62">
        <v>2270.898478461369</v>
      </c>
      <c r="W62">
        <v>33.739118805199404</v>
      </c>
      <c r="AK62">
        <v>2270.898478461369</v>
      </c>
      <c r="AL62">
        <v>33.739118805199404</v>
      </c>
      <c r="AM62" t="s">
        <v>127</v>
      </c>
      <c r="AN62">
        <v>13.0647382139</v>
      </c>
      <c r="AO62">
        <v>2</v>
      </c>
      <c r="AP62">
        <f t="shared" si="0"/>
        <v>4.5650041500037722E-2</v>
      </c>
    </row>
    <row r="63" spans="1:42" x14ac:dyDescent="0.2">
      <c r="A63" t="s">
        <v>102</v>
      </c>
      <c r="B63">
        <v>2020</v>
      </c>
      <c r="C63">
        <v>137.99012423620661</v>
      </c>
      <c r="D63">
        <v>48.748516483178612</v>
      </c>
      <c r="E63">
        <v>8.706373331748182</v>
      </c>
      <c r="F63">
        <v>2.2291185399119842</v>
      </c>
      <c r="G63">
        <v>6.9615115780929404</v>
      </c>
      <c r="H63">
        <v>2.001082275484205</v>
      </c>
      <c r="I63">
        <v>0.44582370798239662</v>
      </c>
      <c r="J63">
        <v>0.65831169999999994</v>
      </c>
      <c r="K63">
        <v>0.38100000000000001</v>
      </c>
      <c r="L63">
        <v>6.8</v>
      </c>
      <c r="M63">
        <v>0.16111819811938771</v>
      </c>
      <c r="N63">
        <v>377</v>
      </c>
      <c r="O63">
        <v>21</v>
      </c>
      <c r="P63">
        <v>35.622731277</v>
      </c>
      <c r="Q63">
        <v>42.891636019000003</v>
      </c>
      <c r="R63">
        <v>19.597288540000001</v>
      </c>
      <c r="S63">
        <v>1.820604881</v>
      </c>
      <c r="T63">
        <v>6.7739282999994543E-2</v>
      </c>
      <c r="U63" t="s">
        <v>102</v>
      </c>
      <c r="V63">
        <v>2442.7762155608548</v>
      </c>
      <c r="W63">
        <v>25.020256154942501</v>
      </c>
      <c r="AK63">
        <v>2442.7762155608548</v>
      </c>
      <c r="AL63">
        <v>25.020256154942501</v>
      </c>
      <c r="AM63" t="s">
        <v>126</v>
      </c>
      <c r="AN63">
        <v>13.07369862479</v>
      </c>
      <c r="AO63">
        <v>2</v>
      </c>
      <c r="AP63">
        <f t="shared" si="0"/>
        <v>5.3680184194890082E-2</v>
      </c>
    </row>
    <row r="64" spans="1:42" x14ac:dyDescent="0.2">
      <c r="A64" t="s">
        <v>103</v>
      </c>
      <c r="B64">
        <v>2020</v>
      </c>
      <c r="C64">
        <v>172.33705099815211</v>
      </c>
      <c r="D64">
        <v>61.751266880835047</v>
      </c>
      <c r="E64">
        <v>4.5700539282231771</v>
      </c>
      <c r="F64">
        <v>2.5389188490128758</v>
      </c>
      <c r="G64">
        <v>5.5776873464251624</v>
      </c>
      <c r="H64">
        <v>2.5468529704160412</v>
      </c>
      <c r="I64">
        <v>0.29356249191711381</v>
      </c>
      <c r="J64">
        <v>0.38946439999999999</v>
      </c>
      <c r="K64">
        <v>0.33500000000000002</v>
      </c>
      <c r="L64">
        <v>11.4</v>
      </c>
      <c r="M64">
        <v>0.1382623174881242</v>
      </c>
      <c r="N64">
        <v>191</v>
      </c>
      <c r="O64">
        <v>6</v>
      </c>
      <c r="P64">
        <v>26.861103416999999</v>
      </c>
      <c r="Q64">
        <v>56.001663742000012</v>
      </c>
      <c r="R64">
        <v>11.658286629999999</v>
      </c>
      <c r="S64">
        <v>5.0757407429999999</v>
      </c>
      <c r="T64">
        <v>0.4032054679999959</v>
      </c>
      <c r="U64" t="s">
        <v>103</v>
      </c>
      <c r="V64">
        <v>2817.9743370794008</v>
      </c>
      <c r="W64">
        <v>40.383124404554202</v>
      </c>
      <c r="AK64">
        <v>2817.9743370794008</v>
      </c>
      <c r="AL64">
        <v>40.383124404554202</v>
      </c>
      <c r="AM64" t="s">
        <v>127</v>
      </c>
      <c r="AN64">
        <v>13.120434220310001</v>
      </c>
      <c r="AO64">
        <v>2</v>
      </c>
      <c r="AP64">
        <f t="shared" si="0"/>
        <v>3.4068413056489118E-2</v>
      </c>
    </row>
    <row r="65" spans="1:42" x14ac:dyDescent="0.2">
      <c r="A65" t="s">
        <v>104</v>
      </c>
      <c r="B65">
        <v>2020</v>
      </c>
      <c r="C65">
        <v>161.14581045909691</v>
      </c>
      <c r="D65">
        <v>79.942850312850055</v>
      </c>
      <c r="E65">
        <v>6.9213385702015531</v>
      </c>
      <c r="F65">
        <v>3.150274583492005</v>
      </c>
      <c r="G65">
        <v>5.6241666828813148</v>
      </c>
      <c r="H65">
        <v>4.030498364173595</v>
      </c>
      <c r="I65">
        <v>0.37062053923435351</v>
      </c>
      <c r="J65">
        <v>0.51702300000000001</v>
      </c>
      <c r="K65">
        <v>0.35199999999999998</v>
      </c>
      <c r="L65">
        <v>14.4</v>
      </c>
      <c r="M65">
        <v>0.17198962330513359</v>
      </c>
      <c r="N65">
        <v>146</v>
      </c>
      <c r="O65">
        <v>5</v>
      </c>
      <c r="P65">
        <v>33.156669370000003</v>
      </c>
      <c r="Q65">
        <v>42.062498669999997</v>
      </c>
      <c r="R65">
        <v>20.422161561999999</v>
      </c>
      <c r="S65">
        <v>4.225776089</v>
      </c>
      <c r="T65">
        <v>0.13289430899999391</v>
      </c>
      <c r="U65" t="s">
        <v>104</v>
      </c>
      <c r="V65">
        <v>2261.319590401883</v>
      </c>
      <c r="W65">
        <v>28.359672881572671</v>
      </c>
      <c r="AK65">
        <v>2261.319590401883</v>
      </c>
      <c r="AL65">
        <v>28.359672881572671</v>
      </c>
      <c r="AM65" t="s">
        <v>123</v>
      </c>
      <c r="AN65">
        <v>13.16735794259</v>
      </c>
      <c r="AO65">
        <v>3</v>
      </c>
      <c r="AP65">
        <f t="shared" si="0"/>
        <v>3.7201011959521621E-2</v>
      </c>
    </row>
    <row r="66" spans="1:42" x14ac:dyDescent="0.2">
      <c r="A66" t="s">
        <v>105</v>
      </c>
      <c r="B66">
        <v>2020</v>
      </c>
      <c r="C66">
        <v>88.859969156832932</v>
      </c>
      <c r="D66">
        <v>42.397418504672522</v>
      </c>
      <c r="E66">
        <v>5.0950565674051438</v>
      </c>
      <c r="F66">
        <v>2.0462074567892139</v>
      </c>
      <c r="G66">
        <v>6.6774570006554681</v>
      </c>
      <c r="H66">
        <v>2.5372972464186252</v>
      </c>
      <c r="I66">
        <v>0.38195872526731989</v>
      </c>
      <c r="J66">
        <v>0.47122900000000001</v>
      </c>
      <c r="K66">
        <v>0.33600000000000002</v>
      </c>
      <c r="L66">
        <v>10.5</v>
      </c>
      <c r="M66">
        <v>0.13685595108309229</v>
      </c>
      <c r="N66">
        <v>150</v>
      </c>
      <c r="O66">
        <v>5</v>
      </c>
      <c r="P66">
        <v>30.841144243999999</v>
      </c>
      <c r="Q66">
        <v>46.827984298999993</v>
      </c>
      <c r="R66">
        <v>20.302245008</v>
      </c>
      <c r="S66">
        <v>1.84465232</v>
      </c>
      <c r="T66">
        <v>0.18397412900000629</v>
      </c>
      <c r="U66" t="s">
        <v>105</v>
      </c>
      <c r="V66">
        <v>2833.4158367962882</v>
      </c>
      <c r="W66">
        <v>38.19182042287219</v>
      </c>
      <c r="AK66">
        <v>2833.4158367962882</v>
      </c>
      <c r="AL66">
        <v>38.19182042287219</v>
      </c>
      <c r="AM66" t="s">
        <v>127</v>
      </c>
      <c r="AN66">
        <v>13.063376236930001</v>
      </c>
      <c r="AO66">
        <v>2</v>
      </c>
      <c r="AP66">
        <f t="shared" si="0"/>
        <v>7.9444273871661031E-2</v>
      </c>
    </row>
    <row r="67" spans="1:42" x14ac:dyDescent="0.2">
      <c r="A67" t="s">
        <v>106</v>
      </c>
      <c r="B67">
        <v>2020</v>
      </c>
      <c r="C67">
        <v>161.02993594446789</v>
      </c>
      <c r="D67">
        <v>73.538977088829569</v>
      </c>
      <c r="E67">
        <v>9.7501261857558408</v>
      </c>
      <c r="F67">
        <v>3.3237588264984881</v>
      </c>
      <c r="G67">
        <v>8.0589768806881157</v>
      </c>
      <c r="H67">
        <v>3.3627853489231279</v>
      </c>
      <c r="I67">
        <v>9.1061885657492805E-2</v>
      </c>
      <c r="J67">
        <v>0.73920819999999998</v>
      </c>
      <c r="K67">
        <v>0.374</v>
      </c>
      <c r="L67">
        <v>14</v>
      </c>
      <c r="M67">
        <v>0.16050502036184339</v>
      </c>
      <c r="N67">
        <v>138</v>
      </c>
      <c r="O67">
        <v>5</v>
      </c>
      <c r="P67">
        <v>34.411009303</v>
      </c>
      <c r="Q67">
        <v>43.388294053999999</v>
      </c>
      <c r="R67">
        <v>18.791320065000001</v>
      </c>
      <c r="S67">
        <v>3.2361609969999998</v>
      </c>
      <c r="T67">
        <v>0.173215581000008</v>
      </c>
      <c r="U67" t="s">
        <v>106</v>
      </c>
      <c r="V67">
        <v>3202.1374011521498</v>
      </c>
      <c r="W67">
        <v>37.47217266610928</v>
      </c>
      <c r="X67">
        <v>4.8099999999999996</v>
      </c>
      <c r="AA67">
        <v>-0.43</v>
      </c>
      <c r="AD67">
        <v>761.23</v>
      </c>
      <c r="AF67">
        <v>72.59</v>
      </c>
      <c r="AH67">
        <v>4.22</v>
      </c>
      <c r="AI67">
        <v>13.03</v>
      </c>
      <c r="AK67">
        <v>3202.1374011521498</v>
      </c>
      <c r="AL67">
        <v>37.47217266610928</v>
      </c>
      <c r="AM67" t="s">
        <v>128</v>
      </c>
      <c r="AN67">
        <v>12.89331104395</v>
      </c>
      <c r="AO67">
        <v>1</v>
      </c>
      <c r="AP67">
        <f t="shared" ref="AP67:AP130" si="1">(G67+I67)/C67</f>
        <v>5.0611948135880748E-2</v>
      </c>
    </row>
    <row r="68" spans="1:42" x14ac:dyDescent="0.2">
      <c r="A68" t="s">
        <v>107</v>
      </c>
      <c r="B68">
        <v>2020</v>
      </c>
      <c r="C68">
        <v>187.0475797075861</v>
      </c>
      <c r="D68">
        <v>77.064269082017788</v>
      </c>
      <c r="E68">
        <v>9.1475094190032369</v>
      </c>
      <c r="F68">
        <v>2.5117341958952801</v>
      </c>
      <c r="G68">
        <v>7.6751135110646214</v>
      </c>
      <c r="H68">
        <v>4.2306398259774616</v>
      </c>
      <c r="I68">
        <v>7.3286674150790598E-2</v>
      </c>
      <c r="J68">
        <v>0.46677970000000002</v>
      </c>
      <c r="K68">
        <v>0.34200000000000003</v>
      </c>
      <c r="L68">
        <v>11.7</v>
      </c>
      <c r="M68">
        <v>0.15130954411433939</v>
      </c>
      <c r="N68">
        <v>196</v>
      </c>
      <c r="O68">
        <v>7</v>
      </c>
      <c r="P68">
        <v>27.503115772000001</v>
      </c>
      <c r="Q68">
        <v>49.408847476000012</v>
      </c>
      <c r="R68">
        <v>21.935163306</v>
      </c>
      <c r="S68">
        <v>1.115515955</v>
      </c>
      <c r="T68">
        <v>3.7357490999994518E-2</v>
      </c>
      <c r="U68" t="s">
        <v>119</v>
      </c>
      <c r="V68">
        <v>2481.8697597151722</v>
      </c>
      <c r="W68">
        <v>29.986653085518721</v>
      </c>
      <c r="AM68" t="s">
        <v>126</v>
      </c>
      <c r="AN68">
        <v>13.202064074020001</v>
      </c>
      <c r="AO68">
        <v>3</v>
      </c>
      <c r="AP68">
        <f t="shared" si="1"/>
        <v>4.1424755120213728E-2</v>
      </c>
    </row>
    <row r="69" spans="1:42" x14ac:dyDescent="0.2">
      <c r="A69" t="s">
        <v>108</v>
      </c>
      <c r="B69">
        <v>2020</v>
      </c>
      <c r="C69">
        <v>103.46195878434639</v>
      </c>
      <c r="D69">
        <v>52.731122502081597</v>
      </c>
      <c r="E69">
        <v>6.3830271648626153</v>
      </c>
      <c r="F69">
        <v>2.2848797876769358</v>
      </c>
      <c r="G69">
        <v>5.4804589925062457</v>
      </c>
      <c r="H69">
        <v>2.447504683597002</v>
      </c>
      <c r="I69">
        <v>0.13823116153205661</v>
      </c>
      <c r="J69">
        <v>0.36177219999999999</v>
      </c>
      <c r="K69">
        <v>0.35199999999999998</v>
      </c>
      <c r="L69">
        <v>15</v>
      </c>
      <c r="M69">
        <v>0.14703470916094241</v>
      </c>
      <c r="N69">
        <v>121</v>
      </c>
      <c r="O69">
        <v>5</v>
      </c>
      <c r="P69">
        <v>27.534086160000001</v>
      </c>
      <c r="Q69">
        <v>42.825320134000002</v>
      </c>
      <c r="R69">
        <v>26.679291112000001</v>
      </c>
      <c r="S69">
        <v>2.8546475290000002</v>
      </c>
      <c r="T69">
        <v>0.1066550649999982</v>
      </c>
      <c r="U69" t="s">
        <v>108</v>
      </c>
      <c r="V69">
        <v>2503.641882975774</v>
      </c>
      <c r="W69">
        <v>36.515632743969562</v>
      </c>
      <c r="AK69">
        <v>2503.641882975774</v>
      </c>
      <c r="AL69">
        <v>36.515632743969562</v>
      </c>
      <c r="AM69" t="s">
        <v>126</v>
      </c>
      <c r="AN69">
        <v>12.81612399096</v>
      </c>
      <c r="AO69">
        <v>1</v>
      </c>
      <c r="AP69">
        <f t="shared" si="1"/>
        <v>5.4306821754165353E-2</v>
      </c>
    </row>
    <row r="70" spans="1:42" x14ac:dyDescent="0.2">
      <c r="A70" t="s">
        <v>109</v>
      </c>
      <c r="B70">
        <v>2020</v>
      </c>
      <c r="C70">
        <v>172.5012028338995</v>
      </c>
      <c r="D70">
        <v>81.017418859067391</v>
      </c>
      <c r="E70">
        <v>7.2512072043859916</v>
      </c>
      <c r="F70">
        <v>4.0816543697644434</v>
      </c>
      <c r="G70">
        <v>4.7657305211216112</v>
      </c>
      <c r="H70">
        <v>3.1391494501167871</v>
      </c>
      <c r="I70">
        <v>0.3040338450476307</v>
      </c>
      <c r="J70">
        <v>0.65775499999999998</v>
      </c>
      <c r="K70">
        <v>0.36499999999999999</v>
      </c>
      <c r="L70">
        <v>12</v>
      </c>
      <c r="M70">
        <v>0.1681383041638527</v>
      </c>
      <c r="N70">
        <v>145</v>
      </c>
      <c r="O70">
        <v>8</v>
      </c>
      <c r="P70">
        <v>35.475993531</v>
      </c>
      <c r="Q70">
        <v>43.992208011999999</v>
      </c>
      <c r="R70">
        <v>16.101926343999999</v>
      </c>
      <c r="S70">
        <v>4.2654244090000004</v>
      </c>
      <c r="T70">
        <v>0.16444770400001121</v>
      </c>
      <c r="U70" t="s">
        <v>109</v>
      </c>
      <c r="V70">
        <v>2146.4329565203461</v>
      </c>
      <c r="W70">
        <v>28.843827566715909</v>
      </c>
      <c r="X70">
        <v>3.93</v>
      </c>
      <c r="AA70">
        <v>-2.84</v>
      </c>
      <c r="AD70">
        <v>759.24</v>
      </c>
      <c r="AF70">
        <v>64.55</v>
      </c>
      <c r="AH70">
        <v>4.32</v>
      </c>
      <c r="AI70">
        <v>14.76</v>
      </c>
      <c r="AK70">
        <v>2146.4329565203461</v>
      </c>
      <c r="AL70">
        <v>28.843827566715909</v>
      </c>
      <c r="AM70" t="s">
        <v>124</v>
      </c>
      <c r="AN70">
        <v>13.13443329293</v>
      </c>
      <c r="AO70">
        <v>2</v>
      </c>
      <c r="AP70">
        <f t="shared" si="1"/>
        <v>2.9389733421458467E-2</v>
      </c>
    </row>
    <row r="71" spans="1:42" x14ac:dyDescent="0.2">
      <c r="A71" t="s">
        <v>110</v>
      </c>
      <c r="B71">
        <v>2020</v>
      </c>
      <c r="C71">
        <v>202.87798870217239</v>
      </c>
      <c r="D71">
        <v>110.1706653289959</v>
      </c>
      <c r="E71">
        <v>12.01657613680179</v>
      </c>
      <c r="F71">
        <v>4.0055253789339309</v>
      </c>
      <c r="G71">
        <v>5.18472210263878</v>
      </c>
      <c r="H71">
        <v>3.1258071882334879</v>
      </c>
      <c r="I71">
        <v>1.87174083127753E-2</v>
      </c>
      <c r="J71">
        <v>0.4954712</v>
      </c>
      <c r="K71">
        <v>0.32600000000000001</v>
      </c>
      <c r="L71">
        <v>18.5</v>
      </c>
      <c r="M71">
        <v>0.1461400832718672</v>
      </c>
      <c r="N71">
        <v>59</v>
      </c>
      <c r="O71">
        <v>7</v>
      </c>
      <c r="P71">
        <v>26.144782974999998</v>
      </c>
      <c r="Q71">
        <v>44.568046616999993</v>
      </c>
      <c r="R71">
        <v>23.522336819</v>
      </c>
      <c r="S71">
        <v>5.6502018170000001</v>
      </c>
      <c r="T71">
        <v>0.1146317720000098</v>
      </c>
      <c r="U71" t="s">
        <v>110</v>
      </c>
      <c r="V71">
        <v>2680.3746395440671</v>
      </c>
      <c r="W71">
        <v>31.665155646244909</v>
      </c>
      <c r="X71">
        <v>3.78</v>
      </c>
      <c r="Y71">
        <v>-3.24</v>
      </c>
      <c r="Z71">
        <v>9.8000000000000007</v>
      </c>
      <c r="AA71">
        <v>-1.65</v>
      </c>
      <c r="AB71">
        <v>11.57</v>
      </c>
      <c r="AC71">
        <v>741.66</v>
      </c>
      <c r="AD71">
        <v>765.45</v>
      </c>
      <c r="AF71">
        <v>72.430000000000007</v>
      </c>
      <c r="AG71">
        <v>12</v>
      </c>
      <c r="AH71">
        <v>2.0299999999999998</v>
      </c>
      <c r="AI71">
        <v>11.99</v>
      </c>
      <c r="AJ71">
        <v>12.99</v>
      </c>
      <c r="AK71">
        <v>2680.3746395440671</v>
      </c>
      <c r="AL71">
        <v>31.665155646244909</v>
      </c>
      <c r="AM71" t="s">
        <v>123</v>
      </c>
      <c r="AN71">
        <v>13.19636951319</v>
      </c>
      <c r="AO71">
        <v>3</v>
      </c>
      <c r="AP71">
        <f t="shared" si="1"/>
        <v>2.5648122520527717E-2</v>
      </c>
    </row>
    <row r="72" spans="1:42" x14ac:dyDescent="0.2">
      <c r="A72" t="s">
        <v>111</v>
      </c>
      <c r="B72">
        <v>2020</v>
      </c>
      <c r="C72">
        <v>125.2600503022674</v>
      </c>
      <c r="D72">
        <v>51.323360458978343</v>
      </c>
      <c r="E72">
        <v>7.9597486319741844</v>
      </c>
      <c r="F72">
        <v>2.4661486759229838</v>
      </c>
      <c r="G72">
        <v>5.8578495183545964</v>
      </c>
      <c r="H72">
        <v>1.9406738975180871</v>
      </c>
      <c r="I72">
        <v>2.9856521500278201E-2</v>
      </c>
      <c r="J72">
        <v>1.9759888999999999</v>
      </c>
      <c r="K72">
        <v>0.38400000000000001</v>
      </c>
      <c r="L72">
        <v>8.4</v>
      </c>
      <c r="M72">
        <v>0.16215641732344241</v>
      </c>
      <c r="N72">
        <v>125</v>
      </c>
      <c r="O72">
        <v>5</v>
      </c>
      <c r="P72">
        <v>32.874165357000003</v>
      </c>
      <c r="Q72">
        <v>44.258760844999998</v>
      </c>
      <c r="R72">
        <v>19.774344257999999</v>
      </c>
      <c r="S72">
        <v>3.015650591</v>
      </c>
      <c r="T72">
        <v>7.7078949000011221E-2</v>
      </c>
      <c r="U72" t="s">
        <v>120</v>
      </c>
      <c r="V72">
        <v>2430.159678540324</v>
      </c>
      <c r="W72">
        <v>22.334325635647751</v>
      </c>
      <c r="AK72">
        <v>2430.159678540324</v>
      </c>
      <c r="AL72">
        <v>22.334325635647751</v>
      </c>
      <c r="AM72" t="s">
        <v>128</v>
      </c>
      <c r="AN72">
        <v>13.06583145668</v>
      </c>
      <c r="AO72">
        <v>2</v>
      </c>
      <c r="AP72">
        <f t="shared" si="1"/>
        <v>4.7003861371978851E-2</v>
      </c>
    </row>
    <row r="73" spans="1:42" x14ac:dyDescent="0.2">
      <c r="A73" t="s">
        <v>112</v>
      </c>
      <c r="B73">
        <v>2020</v>
      </c>
      <c r="C73">
        <v>182.80223484574199</v>
      </c>
      <c r="D73">
        <v>78.381730277417091</v>
      </c>
      <c r="E73">
        <v>13.403073937021709</v>
      </c>
      <c r="F73">
        <v>3.3983687253145871</v>
      </c>
      <c r="G73">
        <v>7.0477205398502001</v>
      </c>
      <c r="H73">
        <v>2.8848630944945559</v>
      </c>
      <c r="I73">
        <v>8.6545892834836602E-2</v>
      </c>
      <c r="J73">
        <v>0.46360390000000001</v>
      </c>
      <c r="K73">
        <v>0.33400000000000002</v>
      </c>
      <c r="L73">
        <v>12.6</v>
      </c>
      <c r="M73">
        <v>0.15406505260378189</v>
      </c>
      <c r="N73">
        <v>427</v>
      </c>
      <c r="O73">
        <v>12</v>
      </c>
      <c r="P73">
        <v>31.759271500000001</v>
      </c>
      <c r="Q73">
        <v>51.489931063</v>
      </c>
      <c r="R73">
        <v>12.209934370999999</v>
      </c>
      <c r="S73">
        <v>4.2812089310000001</v>
      </c>
      <c r="T73">
        <v>0.25965413500000523</v>
      </c>
      <c r="U73" t="s">
        <v>112</v>
      </c>
      <c r="V73">
        <v>2488.1031700663721</v>
      </c>
      <c r="W73">
        <v>32.849985780929501</v>
      </c>
      <c r="X73">
        <v>5.22</v>
      </c>
      <c r="AA73">
        <v>-1.53</v>
      </c>
      <c r="AD73">
        <v>762.67</v>
      </c>
      <c r="AF73">
        <v>66.89</v>
      </c>
      <c r="AH73">
        <v>4.25</v>
      </c>
      <c r="AI73">
        <v>14.2</v>
      </c>
      <c r="AK73">
        <v>2488.1031700663721</v>
      </c>
      <c r="AL73">
        <v>32.849985780929501</v>
      </c>
      <c r="AM73" t="s">
        <v>128</v>
      </c>
      <c r="AN73">
        <v>13.561654273229999</v>
      </c>
      <c r="AO73">
        <v>3</v>
      </c>
      <c r="AP73">
        <f t="shared" si="1"/>
        <v>3.9027238582204977E-2</v>
      </c>
    </row>
    <row r="74" spans="1:42" x14ac:dyDescent="0.2">
      <c r="A74" t="s">
        <v>113</v>
      </c>
      <c r="B74">
        <v>2020</v>
      </c>
      <c r="C74">
        <v>107.1424465724764</v>
      </c>
      <c r="D74">
        <v>46.222013469993051</v>
      </c>
      <c r="E74">
        <v>9.0079141546602202</v>
      </c>
      <c r="F74">
        <v>1.880412344044841</v>
      </c>
      <c r="G74">
        <v>9.155719491746714</v>
      </c>
      <c r="H74">
        <v>3.0217980026572122</v>
      </c>
      <c r="I74">
        <v>0.1067482990069123</v>
      </c>
      <c r="J74">
        <v>0.2882788</v>
      </c>
      <c r="K74">
        <v>0.34200000000000003</v>
      </c>
      <c r="L74">
        <v>16.600000000000001</v>
      </c>
      <c r="M74">
        <v>0.1478532338308457</v>
      </c>
      <c r="N74">
        <v>138</v>
      </c>
      <c r="O74">
        <v>4</v>
      </c>
      <c r="P74">
        <v>31.347885152</v>
      </c>
      <c r="Q74">
        <v>44.295941407000001</v>
      </c>
      <c r="R74">
        <v>21.042532483999999</v>
      </c>
      <c r="S74">
        <v>3.1590417890000002</v>
      </c>
      <c r="T74">
        <v>0.1545991679999901</v>
      </c>
      <c r="U74" t="s">
        <v>121</v>
      </c>
      <c r="V74">
        <v>2559.1407730142018</v>
      </c>
      <c r="W74">
        <v>35.549763514306001</v>
      </c>
      <c r="AM74" t="s">
        <v>126</v>
      </c>
      <c r="AN74">
        <v>13.427808185150001</v>
      </c>
      <c r="AO74">
        <v>3</v>
      </c>
      <c r="AP74">
        <f t="shared" si="1"/>
        <v>8.6450030656039206E-2</v>
      </c>
    </row>
    <row r="75" spans="1:42" x14ac:dyDescent="0.2">
      <c r="A75" t="s">
        <v>114</v>
      </c>
      <c r="B75">
        <v>2020</v>
      </c>
      <c r="C75">
        <v>156.29971364937961</v>
      </c>
      <c r="D75">
        <v>106.5860642698059</v>
      </c>
      <c r="E75">
        <v>4.7725103404390712</v>
      </c>
      <c r="F75">
        <v>4.573655742920776</v>
      </c>
      <c r="G75">
        <v>10.340439070951319</v>
      </c>
      <c r="H75">
        <v>5.1702195354756597</v>
      </c>
      <c r="I75">
        <v>0.39770919503658919</v>
      </c>
      <c r="J75">
        <v>2.4955137000000001</v>
      </c>
      <c r="K75">
        <v>0.41199999999999998</v>
      </c>
      <c r="L75">
        <v>7.7</v>
      </c>
      <c r="M75">
        <v>0.1644112134132526</v>
      </c>
      <c r="N75">
        <v>22</v>
      </c>
      <c r="O75">
        <v>0</v>
      </c>
      <c r="P75">
        <v>36.937871338000001</v>
      </c>
      <c r="Q75">
        <v>54.704223261000003</v>
      </c>
      <c r="R75">
        <v>8.0340568579999996</v>
      </c>
      <c r="S75">
        <v>0.25448704999999999</v>
      </c>
      <c r="T75">
        <v>6.9361493000002383E-2</v>
      </c>
      <c r="U75" t="s">
        <v>114</v>
      </c>
      <c r="V75">
        <v>2014.2025689080219</v>
      </c>
      <c r="W75">
        <v>41.205319633679927</v>
      </c>
      <c r="AK75">
        <v>2014.2025689080219</v>
      </c>
      <c r="AL75">
        <v>41.205319633679927</v>
      </c>
      <c r="AM75" t="s">
        <v>124</v>
      </c>
      <c r="AN75">
        <v>13.08462128367</v>
      </c>
      <c r="AO75">
        <v>2</v>
      </c>
      <c r="AP75">
        <f t="shared" si="1"/>
        <v>6.8702290076335853E-2</v>
      </c>
    </row>
    <row r="76" spans="1:42" x14ac:dyDescent="0.2">
      <c r="A76" t="s">
        <v>115</v>
      </c>
      <c r="B76">
        <v>2020</v>
      </c>
      <c r="C76">
        <v>140.1429715452829</v>
      </c>
      <c r="D76">
        <v>64.469440383216636</v>
      </c>
      <c r="E76">
        <v>8.0081698025875934</v>
      </c>
      <c r="F76">
        <v>2.883675823408836</v>
      </c>
      <c r="G76">
        <v>4.4449015876747664</v>
      </c>
      <c r="H76">
        <v>2.5897980324881891</v>
      </c>
      <c r="I76">
        <v>0.27551042898810529</v>
      </c>
      <c r="J76">
        <v>5.4330878</v>
      </c>
      <c r="K76">
        <v>0.44500000000000001</v>
      </c>
      <c r="L76">
        <v>4.5</v>
      </c>
      <c r="M76">
        <v>0.16459570096536141</v>
      </c>
      <c r="N76">
        <v>39</v>
      </c>
      <c r="O76">
        <v>0</v>
      </c>
      <c r="P76">
        <v>43.817536140000001</v>
      </c>
      <c r="Q76">
        <v>36.008397315000003</v>
      </c>
      <c r="R76">
        <v>18.705198620000001</v>
      </c>
      <c r="S76">
        <v>1.1551909600000001</v>
      </c>
      <c r="T76">
        <v>0.31367696499998488</v>
      </c>
      <c r="U76" t="s">
        <v>115</v>
      </c>
      <c r="V76">
        <v>2749.49895700975</v>
      </c>
      <c r="W76">
        <v>29.169574064893101</v>
      </c>
      <c r="AK76">
        <v>2749.49895700975</v>
      </c>
      <c r="AL76">
        <v>29.169574064893101</v>
      </c>
      <c r="AM76" t="s">
        <v>128</v>
      </c>
      <c r="AN76">
        <v>0</v>
      </c>
      <c r="AO76">
        <v>1</v>
      </c>
      <c r="AP76">
        <f t="shared" si="1"/>
        <v>3.3682830930537359E-2</v>
      </c>
    </row>
    <row r="77" spans="1:42" x14ac:dyDescent="0.2">
      <c r="A77" t="s">
        <v>116</v>
      </c>
      <c r="B77">
        <v>2020</v>
      </c>
      <c r="C77">
        <v>128.3560012095208</v>
      </c>
      <c r="D77">
        <v>49.769066107968079</v>
      </c>
      <c r="E77">
        <v>5.7843175582361104</v>
      </c>
      <c r="F77">
        <v>2.545099725623889</v>
      </c>
      <c r="G77">
        <v>5.6805987606401516</v>
      </c>
      <c r="H77">
        <v>2.305748654248601</v>
      </c>
      <c r="I77">
        <v>0.1994592261460727</v>
      </c>
      <c r="J77">
        <v>0.49790780000000001</v>
      </c>
      <c r="K77">
        <v>0.35299999999999998</v>
      </c>
      <c r="L77">
        <v>9.8000000000000007</v>
      </c>
      <c r="M77">
        <v>0.14229455339171729</v>
      </c>
      <c r="N77">
        <v>169</v>
      </c>
      <c r="O77">
        <v>8</v>
      </c>
      <c r="P77">
        <v>29.426697696000002</v>
      </c>
      <c r="Q77">
        <v>51.084185112</v>
      </c>
      <c r="R77">
        <v>14.292688729</v>
      </c>
      <c r="S77">
        <v>4.9923933199999997</v>
      </c>
      <c r="T77">
        <v>0.20403514299998449</v>
      </c>
      <c r="U77" t="s">
        <v>116</v>
      </c>
      <c r="V77">
        <v>2810.0686436908532</v>
      </c>
      <c r="W77">
        <v>35.010151943570492</v>
      </c>
      <c r="X77">
        <v>11.98</v>
      </c>
      <c r="AA77">
        <v>3.76</v>
      </c>
      <c r="AD77">
        <v>762.78</v>
      </c>
      <c r="AF77">
        <v>63.63</v>
      </c>
      <c r="AH77">
        <v>5.13</v>
      </c>
      <c r="AI77">
        <v>15.07</v>
      </c>
      <c r="AK77">
        <v>2810.0686436908532</v>
      </c>
      <c r="AL77">
        <v>35.010151943570492</v>
      </c>
      <c r="AM77" t="s">
        <v>127</v>
      </c>
      <c r="AN77">
        <v>0</v>
      </c>
      <c r="AO77">
        <v>1</v>
      </c>
      <c r="AP77">
        <f t="shared" si="1"/>
        <v>4.5810542018896047E-2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2025-12-12T21:44:25Z</dcterms:modified>
</cp:coreProperties>
</file>